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6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  <Override PartName="/xl/charts/colors15.xml" ContentType="application/vnd.ms-office.chartcolorstyle+xml"/>
  <Override PartName="/xl/charts/style15.xml" ContentType="application/vnd.ms-office.chartstyle+xml"/>
  <Override PartName="/xl/charts/colors16.xml" ContentType="application/vnd.ms-office.chartcolorstyle+xml"/>
  <Override PartName="/xl/charts/style16.xml" ContentType="application/vnd.ms-office.chartstyle+xml"/>
  <Override PartName="/xl/charts/colors17.xml" ContentType="application/vnd.ms-office.chartcolorstyle+xml"/>
  <Override PartName="/xl/charts/style17.xml" ContentType="application/vnd.ms-office.chartstyle+xml"/>
  <Override PartName="/xl/charts/colors18.xml" ContentType="application/vnd.ms-office.chartcolorstyle+xml"/>
  <Override PartName="/xl/charts/style18.xml" ContentType="application/vnd.ms-office.chartstyle+xml"/>
  <Override PartName="/xl/charts/colors19.xml" ContentType="application/vnd.ms-office.chartcolorstyle+xml"/>
  <Override PartName="/xl/charts/style19.xml" ContentType="application/vnd.ms-office.chartstyle+xml"/>
  <Override PartName="/xl/charts/colors20.xml" ContentType="application/vnd.ms-office.chartcolorstyle+xml"/>
  <Override PartName="/xl/charts/style20.xml" ContentType="application/vnd.ms-office.chartstyle+xml"/>
  <Override PartName="/xl/charts/colors21.xml" ContentType="application/vnd.ms-office.chartcolorstyle+xml"/>
  <Override PartName="/xl/charts/style21.xml" ContentType="application/vnd.ms-office.chartstyle+xml"/>
  <Override PartName="/xl/charts/colors22.xml" ContentType="application/vnd.ms-office.chartcolorstyle+xml"/>
  <Override PartName="/xl/charts/style22.xml" ContentType="application/vnd.ms-office.chartstyle+xml"/>
  <Override PartName="/xl/charts/colors23.xml" ContentType="application/vnd.ms-office.chartcolorstyle+xml"/>
  <Override PartName="/xl/charts/style23.xml" ContentType="application/vnd.ms-office.chartstyle+xml"/>
  <Override PartName="/xl/charts/colors24.xml" ContentType="application/vnd.ms-office.chartcolorstyle+xml"/>
  <Override PartName="/xl/charts/style24.xml" ContentType="application/vnd.ms-office.chartstyle+xml"/>
  <Override PartName="/xl/charts/colors25.xml" ContentType="application/vnd.ms-office.chartcolorstyle+xml"/>
  <Override PartName="/xl/charts/style25.xml" ContentType="application/vnd.ms-office.chartstyle+xml"/>
  <Override PartName="/xl/charts/colors26.xml" ContentType="application/vnd.ms-office.chartcolorstyle+xml"/>
  <Override PartName="/xl/charts/style26.xml" ContentType="application/vnd.ms-office.chartstyle+xml"/>
  <Override PartName="/xl/charts/colors27.xml" ContentType="application/vnd.ms-office.chartcolorstyle+xml"/>
  <Override PartName="/xl/charts/style27.xml" ContentType="application/vnd.ms-office.chartstyle+xml"/>
  <Override PartName="/xl/charts/colors28.xml" ContentType="application/vnd.ms-office.chartcolorstyle+xml"/>
  <Override PartName="/xl/charts/style28.xml" ContentType="application/vnd.ms-office.chartstyle+xml"/>
  <Override PartName="/xl/charts/colors29.xml" ContentType="application/vnd.ms-office.chartcolorstyle+xml"/>
  <Override PartName="/xl/charts/style29.xml" ContentType="application/vnd.ms-office.chartstyle+xml"/>
  <Override PartName="/xl/charts/colors30.xml" ContentType="application/vnd.ms-office.chartcolorstyle+xml"/>
  <Override PartName="/xl/charts/style30.xml" ContentType="application/vnd.ms-office.chartstyle+xml"/>
  <Override PartName="/xl/charts/colors41.xml" ContentType="application/vnd.ms-office.chartcolorstyle+xml"/>
  <Override PartName="/xl/charts/style41.xml" ContentType="application/vnd.ms-office.chartstyle+xml"/>
  <Override PartName="/xl/charts/colors42.xml" ContentType="application/vnd.ms-office.chartcolorstyle+xml"/>
  <Override PartName="/xl/charts/style42.xml" ContentType="application/vnd.ms-office.chartstyle+xml"/>
  <Override PartName="/xl/charts/colors43.xml" ContentType="application/vnd.ms-office.chartcolorstyle+xml"/>
  <Override PartName="/xl/charts/style43.xml" ContentType="application/vnd.ms-office.chartstyle+xml"/>
  <Override PartName="/xl/charts/colors44.xml" ContentType="application/vnd.ms-office.chartcolorstyle+xml"/>
  <Override PartName="/xl/charts/style44.xml" ContentType="application/vnd.ms-office.chartstyle+xml"/>
  <Override PartName="/xl/charts/colors45.xml" ContentType="application/vnd.ms-office.chartcolorstyle+xml"/>
  <Override PartName="/xl/charts/style45.xml" ContentType="application/vnd.ms-office.chartstyle+xml"/>
  <Override PartName="/xl/charts/colors46.xml" ContentType="application/vnd.ms-office.chartcolorstyle+xml"/>
  <Override PartName="/xl/charts/style46.xml" ContentType="application/vnd.ms-office.chartstyle+xml"/>
  <Override PartName="/xl/charts/colors47.xml" ContentType="application/vnd.ms-office.chartcolorstyle+xml"/>
  <Override PartName="/xl/charts/style47.xml" ContentType="application/vnd.ms-office.chartstyle+xml"/>
  <Override PartName="/xl/charts/colors48.xml" ContentType="application/vnd.ms-office.chartcolorstyle+xml"/>
  <Override PartName="/xl/charts/style48.xml" ContentType="application/vnd.ms-office.chartstyle+xml"/>
  <Override PartName="/xl/charts/colors49.xml" ContentType="application/vnd.ms-office.chartcolorstyle+xml"/>
  <Override PartName="/xl/charts/style49.xml" ContentType="application/vnd.ms-office.chartstyle+xml"/>
  <Override PartName="/xl/charts/colors50.xml" ContentType="application/vnd.ms-office.chartcolorstyle+xml"/>
  <Override PartName="/xl/charts/style50.xml" ContentType="application/vnd.ms-office.chartstyle+xml"/>
  <Override PartName="/xl/charts/colors51.xml" ContentType="application/vnd.ms-office.chartcolorstyle+xml"/>
  <Override PartName="/xl/charts/style51.xml" ContentType="application/vnd.ms-office.chartstyle+xml"/>
  <Override PartName="/xl/charts/colors52.xml" ContentType="application/vnd.ms-office.chartcolorstyle+xml"/>
  <Override PartName="/xl/charts/style52.xml" ContentType="application/vnd.ms-office.chartstyle+xml"/>
  <Override PartName="/xl/charts/colors53.xml" ContentType="application/vnd.ms-office.chartcolorstyle+xml"/>
  <Override PartName="/xl/charts/style53.xml" ContentType="application/vnd.ms-office.chartstyle+xml"/>
  <Override PartName="/xl/charts/colors54.xml" ContentType="application/vnd.ms-office.chartcolorstyle+xml"/>
  <Override PartName="/xl/charts/style54.xml" ContentType="application/vnd.ms-office.chartstyle+xml"/>
  <Override PartName="/xl/charts/colors55.xml" ContentType="application/vnd.ms-office.chartcolorstyle+xml"/>
  <Override PartName="/xl/charts/style55.xml" ContentType="application/vnd.ms-office.chartstyle+xml"/>
  <Override PartName="/xl/charts/colors56.xml" ContentType="application/vnd.ms-office.chartcolorstyle+xml"/>
  <Override PartName="/xl/charts/style56.xml" ContentType="application/vnd.ms-office.chartstyle+xml"/>
  <Override PartName="/xl/charts/colors57.xml" ContentType="application/vnd.ms-office.chartcolorstyle+xml"/>
  <Override PartName="/xl/charts/style57.xml" ContentType="application/vnd.ms-office.chartstyle+xml"/>
  <Override PartName="/xl/charts/colors58.xml" ContentType="application/vnd.ms-office.chartcolorstyle+xml"/>
  <Override PartName="/xl/charts/style58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13650" windowWidth="21840" windowHeight="1320" firstSheet="1" activeTab="6"/>
  </bookViews>
  <sheets>
    <sheet name="EDU projections" sheetId="3" r:id="rId1"/>
    <sheet name="Pop" sheetId="4" r:id="rId2"/>
    <sheet name="UN" sheetId="2" r:id="rId3"/>
    <sheet name="GDPcap" sheetId="5" r:id="rId4"/>
    <sheet name="RCP" sheetId="6" r:id="rId5"/>
    <sheet name="1" sheetId="1" r:id="rId6"/>
    <sheet name="2" sheetId="7" r:id="rId7"/>
    <sheet name="3" sheetId="12" r:id="rId8"/>
    <sheet name="Fig (1)" sheetId="15" r:id="rId9"/>
    <sheet name="Fig (2)" sheetId="10" r:id="rId10"/>
    <sheet name="Fig (3)" sheetId="17" r:id="rId11"/>
  </sheets>
  <definedNames>
    <definedName name="solver_adj" localSheetId="5" hidden="1">'1'!$M$112</definedName>
    <definedName name="solver_adj" localSheetId="6" hidden="1">'2'!$M$112</definedName>
    <definedName name="solver_adj" localSheetId="7" hidden="1">'3'!$M$112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opt" localSheetId="5" hidden="1">'1'!$N$116</definedName>
    <definedName name="solver_opt" localSheetId="6" hidden="1">'2'!$N$116</definedName>
    <definedName name="solver_opt" localSheetId="7" hidden="1">'3'!$N$116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rbv" localSheetId="5" hidden="1">1</definedName>
    <definedName name="solver_rbv" localSheetId="6" hidden="1">1</definedName>
    <definedName name="solver_rbv" localSheetId="7" hidden="1">1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yp" localSheetId="5" hidden="1">3</definedName>
    <definedName name="solver_typ" localSheetId="6" hidden="1">3</definedName>
    <definedName name="solver_typ" localSheetId="7" hidden="1">3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er" localSheetId="5" hidden="1">3</definedName>
    <definedName name="solver_ver" localSheetId="6" hidden="1">3</definedName>
    <definedName name="solver_ver" localSheetId="7" hidden="1">3</definedName>
  </definedNames>
  <calcPr calcId="145621" concurrentCalc="0"/>
</workbook>
</file>

<file path=xl/calcChain.xml><?xml version="1.0" encoding="utf-8"?>
<calcChain xmlns="http://schemas.openxmlformats.org/spreadsheetml/2006/main">
  <c r="L29" i="1" l="1"/>
  <c r="C29" i="1"/>
  <c r="D29" i="1"/>
  <c r="E29" i="1"/>
  <c r="F29" i="1"/>
  <c r="J29" i="1"/>
  <c r="O29" i="1"/>
  <c r="G29" i="1"/>
  <c r="H29" i="1"/>
  <c r="K29" i="1"/>
  <c r="P29" i="1"/>
  <c r="Q29" i="1"/>
  <c r="L25" i="1"/>
  <c r="C25" i="1"/>
  <c r="D25" i="1"/>
  <c r="E25" i="1"/>
  <c r="F25" i="1"/>
  <c r="J25" i="1"/>
  <c r="O25" i="1"/>
  <c r="G25" i="1"/>
  <c r="H25" i="1"/>
  <c r="K25" i="1"/>
  <c r="P25" i="1"/>
  <c r="Q25" i="1"/>
  <c r="M29" i="1"/>
  <c r="L21" i="1"/>
  <c r="C21" i="1"/>
  <c r="D21" i="1"/>
  <c r="E21" i="1"/>
  <c r="F21" i="1"/>
  <c r="J21" i="1"/>
  <c r="O21" i="1"/>
  <c r="G21" i="1"/>
  <c r="H21" i="1"/>
  <c r="K21" i="1"/>
  <c r="P21" i="1"/>
  <c r="Q21" i="1"/>
  <c r="M25" i="1"/>
  <c r="L17" i="1"/>
  <c r="C17" i="1"/>
  <c r="D17" i="1"/>
  <c r="E17" i="1"/>
  <c r="F17" i="1"/>
  <c r="J17" i="1"/>
  <c r="O17" i="1"/>
  <c r="G17" i="1"/>
  <c r="H17" i="1"/>
  <c r="K17" i="1"/>
  <c r="P17" i="1"/>
  <c r="Q17" i="1"/>
  <c r="M21" i="1"/>
  <c r="L13" i="1"/>
  <c r="C13" i="1"/>
  <c r="D13" i="1"/>
  <c r="E13" i="1"/>
  <c r="F13" i="1"/>
  <c r="J13" i="1"/>
  <c r="O13" i="1"/>
  <c r="G13" i="1"/>
  <c r="H13" i="1"/>
  <c r="K13" i="1"/>
  <c r="P13" i="1"/>
  <c r="Q13" i="1"/>
  <c r="M17" i="1"/>
  <c r="C9" i="1"/>
  <c r="D9" i="1"/>
  <c r="E9" i="1"/>
  <c r="F9" i="1"/>
  <c r="J9" i="1"/>
  <c r="L9" i="1"/>
  <c r="O9" i="1"/>
  <c r="G9" i="1"/>
  <c r="H9" i="1"/>
  <c r="K9" i="1"/>
  <c r="P9" i="1"/>
  <c r="Q9" i="1"/>
  <c r="M13" i="1"/>
  <c r="C5" i="1"/>
  <c r="D5" i="1"/>
  <c r="E5" i="1"/>
  <c r="F5" i="1"/>
  <c r="J5" i="1"/>
  <c r="L5" i="1"/>
  <c r="O5" i="1"/>
  <c r="G5" i="1"/>
  <c r="H5" i="1"/>
  <c r="K5" i="1"/>
  <c r="P5" i="1"/>
  <c r="Q5" i="1"/>
  <c r="M9" i="1"/>
  <c r="BK37" i="12"/>
  <c r="BK36" i="12"/>
  <c r="BK35" i="12"/>
  <c r="BK34" i="12"/>
  <c r="BK33" i="12"/>
  <c r="BK32" i="12"/>
  <c r="BK31" i="12"/>
  <c r="BK30" i="12"/>
  <c r="BK29" i="12"/>
  <c r="BK28" i="12"/>
  <c r="BK27" i="12"/>
  <c r="BK26" i="12"/>
  <c r="BK25" i="12"/>
  <c r="BK24" i="12"/>
  <c r="BK23" i="12"/>
  <c r="BK22" i="12"/>
  <c r="BK21" i="12"/>
  <c r="BK20" i="12"/>
  <c r="BK19" i="12"/>
  <c r="BK18" i="12"/>
  <c r="BK17" i="12"/>
  <c r="BK16" i="12"/>
  <c r="BK15" i="12"/>
  <c r="BK14" i="12"/>
  <c r="BK37" i="7"/>
  <c r="BK36" i="7"/>
  <c r="BK35" i="7"/>
  <c r="BK34" i="7"/>
  <c r="BK33" i="7"/>
  <c r="BK32" i="7"/>
  <c r="BK31" i="7"/>
  <c r="BK30" i="7"/>
  <c r="BK29" i="7"/>
  <c r="BK28" i="7"/>
  <c r="BK27" i="7"/>
  <c r="BK26" i="7"/>
  <c r="BK25" i="7"/>
  <c r="BK24" i="7"/>
  <c r="BK23" i="7"/>
  <c r="BK22" i="7"/>
  <c r="BK21" i="7"/>
  <c r="BK20" i="7"/>
  <c r="BK19" i="7"/>
  <c r="BK18" i="7"/>
  <c r="BK17" i="7"/>
  <c r="BK16" i="7"/>
  <c r="BK15" i="7"/>
  <c r="BK14" i="7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K15" i="1"/>
  <c r="BK14" i="1"/>
  <c r="F2" i="6"/>
  <c r="BM37" i="12"/>
  <c r="BM36" i="12"/>
  <c r="BM35" i="12"/>
  <c r="BM34" i="12"/>
  <c r="BM33" i="12"/>
  <c r="BM32" i="12"/>
  <c r="BM31" i="12"/>
  <c r="BM30" i="12"/>
  <c r="BM29" i="12"/>
  <c r="BM28" i="12"/>
  <c r="BM27" i="12"/>
  <c r="BM26" i="12"/>
  <c r="BM25" i="12"/>
  <c r="BM24" i="12"/>
  <c r="BM23" i="12"/>
  <c r="BM22" i="12"/>
  <c r="BM21" i="12"/>
  <c r="BM20" i="12"/>
  <c r="BM19" i="12"/>
  <c r="BM18" i="12"/>
  <c r="BM17" i="12"/>
  <c r="BM16" i="12"/>
  <c r="BM15" i="12"/>
  <c r="BM14" i="12"/>
  <c r="BM37" i="7"/>
  <c r="BM36" i="7"/>
  <c r="BM35" i="7"/>
  <c r="BM34" i="7"/>
  <c r="BM33" i="7"/>
  <c r="BM32" i="7"/>
  <c r="BM31" i="7"/>
  <c r="BM30" i="7"/>
  <c r="BM29" i="7"/>
  <c r="BM28" i="7"/>
  <c r="BM27" i="7"/>
  <c r="BM26" i="7"/>
  <c r="BM25" i="7"/>
  <c r="BM24" i="7"/>
  <c r="BM23" i="7"/>
  <c r="BM22" i="7"/>
  <c r="BM21" i="7"/>
  <c r="BM20" i="7"/>
  <c r="BM19" i="7"/>
  <c r="BM18" i="7"/>
  <c r="BM17" i="7"/>
  <c r="BM16" i="7"/>
  <c r="BM15" i="7"/>
  <c r="BM14" i="7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4" i="1"/>
  <c r="BM15" i="1"/>
  <c r="Q5" i="6"/>
  <c r="X29" i="1"/>
  <c r="F5" i="6"/>
  <c r="X9" i="1"/>
  <c r="Z3" i="1"/>
  <c r="Z4" i="1"/>
  <c r="Z5" i="1"/>
  <c r="AB9" i="1"/>
  <c r="O5" i="6"/>
  <c r="X25" i="1"/>
  <c r="AB25" i="1"/>
  <c r="M5" i="6"/>
  <c r="X21" i="1"/>
  <c r="K5" i="6"/>
  <c r="X17" i="1"/>
  <c r="AB17" i="1"/>
  <c r="J4" i="6"/>
  <c r="X13" i="1"/>
  <c r="AB13" i="1"/>
  <c r="BO33" i="1"/>
  <c r="P5" i="6"/>
  <c r="W29" i="1"/>
  <c r="F4" i="6"/>
  <c r="W9" i="1"/>
  <c r="O4" i="6"/>
  <c r="W25" i="1"/>
  <c r="M4" i="6"/>
  <c r="W21" i="1"/>
  <c r="K4" i="6"/>
  <c r="W17" i="1"/>
  <c r="I4" i="6"/>
  <c r="W13" i="1"/>
  <c r="Q3" i="6"/>
  <c r="V29" i="1"/>
  <c r="F3" i="6"/>
  <c r="V9" i="1"/>
  <c r="Z29" i="1"/>
  <c r="O3" i="6"/>
  <c r="V25" i="1"/>
  <c r="Z25" i="1"/>
  <c r="M3" i="6"/>
  <c r="V21" i="1"/>
  <c r="Z21" i="1"/>
  <c r="BO23" i="1"/>
  <c r="K3" i="6"/>
  <c r="V17" i="1"/>
  <c r="Z17" i="1"/>
  <c r="I3" i="6"/>
  <c r="V13" i="1"/>
  <c r="Z13" i="1"/>
  <c r="BO21" i="1"/>
  <c r="Z9" i="1"/>
  <c r="BO20" i="1"/>
  <c r="Q2" i="6"/>
  <c r="U29" i="1"/>
  <c r="U9" i="1"/>
  <c r="O2" i="6"/>
  <c r="U25" i="1"/>
  <c r="M2" i="6"/>
  <c r="U21" i="1"/>
  <c r="K2" i="6"/>
  <c r="U17" i="1"/>
  <c r="I2" i="6"/>
  <c r="U13" i="1"/>
  <c r="Q4" i="6"/>
  <c r="P4" i="6"/>
  <c r="P3" i="6"/>
  <c r="P2" i="6"/>
  <c r="N5" i="6"/>
  <c r="N4" i="6"/>
  <c r="N3" i="6"/>
  <c r="N2" i="6"/>
  <c r="L5" i="6"/>
  <c r="L4" i="6"/>
  <c r="L3" i="6"/>
  <c r="L2" i="6"/>
  <c r="J5" i="6"/>
  <c r="I5" i="6"/>
  <c r="J3" i="6"/>
  <c r="J2" i="6"/>
  <c r="H5" i="6"/>
  <c r="H4" i="6"/>
  <c r="H3" i="6"/>
  <c r="H2" i="6"/>
  <c r="G5" i="6"/>
  <c r="G4" i="6"/>
  <c r="G3" i="6"/>
  <c r="G2" i="6"/>
  <c r="BI36" i="12"/>
  <c r="BI35" i="12"/>
  <c r="BI34" i="12"/>
  <c r="BI33" i="12"/>
  <c r="BI32" i="12"/>
  <c r="BI30" i="12"/>
  <c r="BI29" i="12"/>
  <c r="X29" i="12"/>
  <c r="BN37" i="12"/>
  <c r="W29" i="12"/>
  <c r="BN31" i="12"/>
  <c r="V29" i="12"/>
  <c r="BN25" i="12"/>
  <c r="U29" i="12"/>
  <c r="BN19" i="12"/>
  <c r="L29" i="12"/>
  <c r="H29" i="12"/>
  <c r="G29" i="12"/>
  <c r="F29" i="12"/>
  <c r="E29" i="12"/>
  <c r="D29" i="12"/>
  <c r="C29" i="12"/>
  <c r="B29" i="12"/>
  <c r="I29" i="12"/>
  <c r="BI28" i="12"/>
  <c r="L28" i="12"/>
  <c r="H28" i="12"/>
  <c r="G28" i="12"/>
  <c r="F28" i="12"/>
  <c r="E28" i="12"/>
  <c r="D28" i="12"/>
  <c r="C28" i="12"/>
  <c r="B28" i="12"/>
  <c r="I28" i="12"/>
  <c r="N28" i="12"/>
  <c r="BI27" i="12"/>
  <c r="X27" i="12"/>
  <c r="W27" i="12"/>
  <c r="V27" i="12"/>
  <c r="U27" i="12"/>
  <c r="L27" i="12"/>
  <c r="H27" i="12"/>
  <c r="G27" i="12"/>
  <c r="F27" i="12"/>
  <c r="E27" i="12"/>
  <c r="D27" i="12"/>
  <c r="C27" i="12"/>
  <c r="B27" i="12"/>
  <c r="I27" i="12"/>
  <c r="BI26" i="12"/>
  <c r="L26" i="12"/>
  <c r="H26" i="12"/>
  <c r="G26" i="12"/>
  <c r="F26" i="12"/>
  <c r="E26" i="12"/>
  <c r="D26" i="12"/>
  <c r="C26" i="12"/>
  <c r="B26" i="12"/>
  <c r="I26" i="12"/>
  <c r="X25" i="12"/>
  <c r="BN36" i="12"/>
  <c r="W25" i="12"/>
  <c r="BN30" i="12"/>
  <c r="V25" i="12"/>
  <c r="BN24" i="12"/>
  <c r="U25" i="12"/>
  <c r="BN18" i="12"/>
  <c r="L25" i="12"/>
  <c r="H25" i="12"/>
  <c r="G25" i="12"/>
  <c r="K25" i="12"/>
  <c r="F25" i="12"/>
  <c r="E25" i="12"/>
  <c r="D25" i="12"/>
  <c r="C25" i="12"/>
  <c r="B25" i="12"/>
  <c r="I25" i="12"/>
  <c r="BI24" i="12"/>
  <c r="L24" i="12"/>
  <c r="H24" i="12"/>
  <c r="G24" i="12"/>
  <c r="F24" i="12"/>
  <c r="E24" i="12"/>
  <c r="D24" i="12"/>
  <c r="C24" i="12"/>
  <c r="B24" i="12"/>
  <c r="I24" i="12"/>
  <c r="BI23" i="12"/>
  <c r="X23" i="12"/>
  <c r="W23" i="12"/>
  <c r="V23" i="12"/>
  <c r="U23" i="12"/>
  <c r="L23" i="12"/>
  <c r="H23" i="12"/>
  <c r="G23" i="12"/>
  <c r="F23" i="12"/>
  <c r="E23" i="12"/>
  <c r="D23" i="12"/>
  <c r="C23" i="12"/>
  <c r="B23" i="12"/>
  <c r="I23" i="12"/>
  <c r="BI22" i="12"/>
  <c r="L22" i="12"/>
  <c r="H22" i="12"/>
  <c r="G22" i="12"/>
  <c r="F22" i="12"/>
  <c r="E22" i="12"/>
  <c r="D22" i="12"/>
  <c r="C22" i="12"/>
  <c r="B22" i="12"/>
  <c r="I22" i="12"/>
  <c r="BI21" i="12"/>
  <c r="X21" i="12"/>
  <c r="BN35" i="12"/>
  <c r="W21" i="12"/>
  <c r="BN29" i="12"/>
  <c r="V21" i="12"/>
  <c r="BN23" i="12"/>
  <c r="U21" i="12"/>
  <c r="BN17" i="12"/>
  <c r="L21" i="12"/>
  <c r="H21" i="12"/>
  <c r="G21" i="12"/>
  <c r="F21" i="12"/>
  <c r="E21" i="12"/>
  <c r="D21" i="12"/>
  <c r="C21" i="12"/>
  <c r="B21" i="12"/>
  <c r="I21" i="12"/>
  <c r="BI20" i="12"/>
  <c r="L20" i="12"/>
  <c r="H20" i="12"/>
  <c r="G20" i="12"/>
  <c r="F20" i="12"/>
  <c r="E20" i="12"/>
  <c r="D20" i="12"/>
  <c r="C20" i="12"/>
  <c r="B20" i="12"/>
  <c r="I20" i="12"/>
  <c r="X19" i="12"/>
  <c r="W19" i="12"/>
  <c r="V19" i="12"/>
  <c r="U19" i="12"/>
  <c r="Z4" i="12"/>
  <c r="Z5" i="12"/>
  <c r="U9" i="12"/>
  <c r="Y19" i="12"/>
  <c r="L19" i="12"/>
  <c r="H19" i="12"/>
  <c r="G19" i="12"/>
  <c r="F19" i="12"/>
  <c r="E19" i="12"/>
  <c r="D19" i="12"/>
  <c r="C19" i="12"/>
  <c r="B19" i="12"/>
  <c r="I19" i="12"/>
  <c r="BI18" i="12"/>
  <c r="L18" i="12"/>
  <c r="H18" i="12"/>
  <c r="G18" i="12"/>
  <c r="F18" i="12"/>
  <c r="E18" i="12"/>
  <c r="D18" i="12"/>
  <c r="C18" i="12"/>
  <c r="B18" i="12"/>
  <c r="I18" i="12"/>
  <c r="BI17" i="12"/>
  <c r="X17" i="12"/>
  <c r="BN34" i="12"/>
  <c r="W17" i="12"/>
  <c r="V17" i="12"/>
  <c r="BN22" i="12"/>
  <c r="U17" i="12"/>
  <c r="L17" i="12"/>
  <c r="H17" i="12"/>
  <c r="G17" i="12"/>
  <c r="F17" i="12"/>
  <c r="E17" i="12"/>
  <c r="D17" i="12"/>
  <c r="C17" i="12"/>
  <c r="B17" i="12"/>
  <c r="I17" i="12"/>
  <c r="BI16" i="12"/>
  <c r="L16" i="12"/>
  <c r="H16" i="12"/>
  <c r="G16" i="12"/>
  <c r="F16" i="12"/>
  <c r="E16" i="12"/>
  <c r="D16" i="12"/>
  <c r="C16" i="12"/>
  <c r="B16" i="12"/>
  <c r="I16" i="12"/>
  <c r="BI15" i="12"/>
  <c r="X15" i="12"/>
  <c r="W15" i="12"/>
  <c r="W9" i="12"/>
  <c r="AA15" i="12"/>
  <c r="V15" i="12"/>
  <c r="U15" i="12"/>
  <c r="L15" i="12"/>
  <c r="H15" i="12"/>
  <c r="G15" i="12"/>
  <c r="F15" i="12"/>
  <c r="E15" i="12"/>
  <c r="D15" i="12"/>
  <c r="C15" i="12"/>
  <c r="B15" i="12"/>
  <c r="I15" i="12"/>
  <c r="BI14" i="12"/>
  <c r="L14" i="12"/>
  <c r="H14" i="12"/>
  <c r="G14" i="12"/>
  <c r="F14" i="12"/>
  <c r="E14" i="12"/>
  <c r="D14" i="12"/>
  <c r="C14" i="12"/>
  <c r="B14" i="12"/>
  <c r="I14" i="12"/>
  <c r="BG13" i="12"/>
  <c r="BG31" i="12"/>
  <c r="BF13" i="12"/>
  <c r="X13" i="12"/>
  <c r="BN33" i="12"/>
  <c r="W13" i="12"/>
  <c r="BN27" i="12"/>
  <c r="V13" i="12"/>
  <c r="BN21" i="12"/>
  <c r="U13" i="12"/>
  <c r="L13" i="12"/>
  <c r="H13" i="12"/>
  <c r="G13" i="12"/>
  <c r="F13" i="12"/>
  <c r="E13" i="12"/>
  <c r="D13" i="12"/>
  <c r="C13" i="12"/>
  <c r="B13" i="12"/>
  <c r="I13" i="12"/>
  <c r="BG12" i="12"/>
  <c r="BG18" i="12"/>
  <c r="BF12" i="12"/>
  <c r="L12" i="12"/>
  <c r="H12" i="12"/>
  <c r="G12" i="12"/>
  <c r="F12" i="12"/>
  <c r="E12" i="12"/>
  <c r="D12" i="12"/>
  <c r="C12" i="12"/>
  <c r="B12" i="12"/>
  <c r="I12" i="12"/>
  <c r="BG11" i="12"/>
  <c r="BF11" i="12"/>
  <c r="X11" i="12"/>
  <c r="W11" i="12"/>
  <c r="V11" i="12"/>
  <c r="U11" i="12"/>
  <c r="S11" i="12"/>
  <c r="L11" i="12"/>
  <c r="H11" i="12"/>
  <c r="G11" i="12"/>
  <c r="F11" i="12"/>
  <c r="E11" i="12"/>
  <c r="D11" i="12"/>
  <c r="C11" i="12"/>
  <c r="B11" i="12"/>
  <c r="I11" i="12"/>
  <c r="BG10" i="12"/>
  <c r="BG28" i="12"/>
  <c r="BF10" i="12"/>
  <c r="X10" i="12"/>
  <c r="W10" i="12"/>
  <c r="V10" i="12"/>
  <c r="U10" i="12"/>
  <c r="S10" i="12"/>
  <c r="L10" i="12"/>
  <c r="H10" i="12"/>
  <c r="G10" i="12"/>
  <c r="F10" i="12"/>
  <c r="E10" i="12"/>
  <c r="D10" i="12"/>
  <c r="C10" i="12"/>
  <c r="B10" i="12"/>
  <c r="I10" i="12"/>
  <c r="BG9" i="12"/>
  <c r="BG21" i="12"/>
  <c r="BF9" i="12"/>
  <c r="X9" i="12"/>
  <c r="AB15" i="12"/>
  <c r="BN26" i="12"/>
  <c r="V9" i="12"/>
  <c r="Z23" i="12"/>
  <c r="AH23" i="12"/>
  <c r="BN14" i="12"/>
  <c r="S9" i="12"/>
  <c r="L9" i="12"/>
  <c r="H9" i="12"/>
  <c r="G9" i="12"/>
  <c r="F9" i="12"/>
  <c r="E9" i="12"/>
  <c r="D9" i="12"/>
  <c r="C9" i="12"/>
  <c r="B9" i="12"/>
  <c r="I9" i="12"/>
  <c r="BG8" i="12"/>
  <c r="BF8" i="12"/>
  <c r="BF26" i="12"/>
  <c r="S8" i="12"/>
  <c r="L8" i="12"/>
  <c r="H8" i="12"/>
  <c r="G8" i="12"/>
  <c r="F8" i="12"/>
  <c r="E8" i="12"/>
  <c r="D8" i="12"/>
  <c r="C8" i="12"/>
  <c r="B8" i="12"/>
  <c r="I8" i="12"/>
  <c r="S7" i="12"/>
  <c r="L7" i="12"/>
  <c r="H7" i="12"/>
  <c r="G7" i="12"/>
  <c r="F7" i="12"/>
  <c r="E7" i="12"/>
  <c r="D7" i="12"/>
  <c r="C7" i="12"/>
  <c r="J7" i="12"/>
  <c r="O7" i="12"/>
  <c r="B7" i="12"/>
  <c r="I7" i="12"/>
  <c r="N7" i="12"/>
  <c r="S6" i="12"/>
  <c r="L6" i="12"/>
  <c r="H6" i="12"/>
  <c r="G6" i="12"/>
  <c r="F6" i="12"/>
  <c r="E6" i="12"/>
  <c r="D6" i="12"/>
  <c r="C6" i="12"/>
  <c r="B6" i="12"/>
  <c r="I6" i="12"/>
  <c r="S5" i="12"/>
  <c r="L5" i="12"/>
  <c r="H5" i="12"/>
  <c r="G5" i="12"/>
  <c r="K5" i="12"/>
  <c r="F5" i="12"/>
  <c r="E5" i="12"/>
  <c r="D5" i="12"/>
  <c r="C5" i="12"/>
  <c r="B5" i="12"/>
  <c r="I5" i="12"/>
  <c r="S4" i="12"/>
  <c r="L4" i="12"/>
  <c r="H4" i="12"/>
  <c r="G4" i="12"/>
  <c r="K4" i="12"/>
  <c r="F4" i="12"/>
  <c r="E4" i="12"/>
  <c r="D4" i="12"/>
  <c r="C4" i="12"/>
  <c r="B4" i="12"/>
  <c r="I4" i="12"/>
  <c r="S3" i="12"/>
  <c r="L3" i="12"/>
  <c r="T3" i="12"/>
  <c r="H3" i="12"/>
  <c r="G3" i="12"/>
  <c r="F3" i="12"/>
  <c r="E3" i="12"/>
  <c r="D3" i="12"/>
  <c r="C3" i="12"/>
  <c r="B3" i="12"/>
  <c r="I3" i="12"/>
  <c r="X2" i="12"/>
  <c r="AB2" i="12"/>
  <c r="AF2" i="12"/>
  <c r="AJ2" i="12"/>
  <c r="W2" i="12"/>
  <c r="AA2" i="12"/>
  <c r="AE2" i="12"/>
  <c r="AI2" i="12"/>
  <c r="V2" i="12"/>
  <c r="Z2" i="12"/>
  <c r="AD2" i="12"/>
  <c r="AH2" i="12"/>
  <c r="U2" i="12"/>
  <c r="Y2" i="12"/>
  <c r="AC2" i="12"/>
  <c r="AG2" i="12"/>
  <c r="L29" i="7"/>
  <c r="H29" i="7"/>
  <c r="G29" i="7"/>
  <c r="F29" i="7"/>
  <c r="E29" i="7"/>
  <c r="D29" i="7"/>
  <c r="C29" i="7"/>
  <c r="B29" i="7"/>
  <c r="I29" i="7"/>
  <c r="L28" i="7"/>
  <c r="H28" i="7"/>
  <c r="G28" i="7"/>
  <c r="F28" i="7"/>
  <c r="E28" i="7"/>
  <c r="D28" i="7"/>
  <c r="C28" i="7"/>
  <c r="B28" i="7"/>
  <c r="I28" i="7"/>
  <c r="L27" i="7"/>
  <c r="H27" i="7"/>
  <c r="G27" i="7"/>
  <c r="F27" i="7"/>
  <c r="E27" i="7"/>
  <c r="D27" i="7"/>
  <c r="C27" i="7"/>
  <c r="B27" i="7"/>
  <c r="I27" i="7"/>
  <c r="L26" i="7"/>
  <c r="H26" i="7"/>
  <c r="G26" i="7"/>
  <c r="K26" i="7"/>
  <c r="F26" i="7"/>
  <c r="E26" i="7"/>
  <c r="D26" i="7"/>
  <c r="C26" i="7"/>
  <c r="B26" i="7"/>
  <c r="I26" i="7"/>
  <c r="L25" i="7"/>
  <c r="H25" i="7"/>
  <c r="G25" i="7"/>
  <c r="F25" i="7"/>
  <c r="E25" i="7"/>
  <c r="D25" i="7"/>
  <c r="C25" i="7"/>
  <c r="B25" i="7"/>
  <c r="I25" i="7"/>
  <c r="L24" i="7"/>
  <c r="H24" i="7"/>
  <c r="G24" i="7"/>
  <c r="K24" i="7"/>
  <c r="F24" i="7"/>
  <c r="E24" i="7"/>
  <c r="D24" i="7"/>
  <c r="C24" i="7"/>
  <c r="B24" i="7"/>
  <c r="I24" i="7"/>
  <c r="L23" i="7"/>
  <c r="H23" i="7"/>
  <c r="G23" i="7"/>
  <c r="K23" i="7"/>
  <c r="F23" i="7"/>
  <c r="E23" i="7"/>
  <c r="D23" i="7"/>
  <c r="C23" i="7"/>
  <c r="B23" i="7"/>
  <c r="I23" i="7"/>
  <c r="L22" i="7"/>
  <c r="H22" i="7"/>
  <c r="G22" i="7"/>
  <c r="F22" i="7"/>
  <c r="E22" i="7"/>
  <c r="D22" i="7"/>
  <c r="C22" i="7"/>
  <c r="J22" i="7"/>
  <c r="B22" i="7"/>
  <c r="I22" i="7"/>
  <c r="L21" i="7"/>
  <c r="H21" i="7"/>
  <c r="G21" i="7"/>
  <c r="F21" i="7"/>
  <c r="E21" i="7"/>
  <c r="D21" i="7"/>
  <c r="C21" i="7"/>
  <c r="B21" i="7"/>
  <c r="I21" i="7"/>
  <c r="L20" i="7"/>
  <c r="H20" i="7"/>
  <c r="G20" i="7"/>
  <c r="F20" i="7"/>
  <c r="E20" i="7"/>
  <c r="D20" i="7"/>
  <c r="C20" i="7"/>
  <c r="B20" i="7"/>
  <c r="I20" i="7"/>
  <c r="L19" i="7"/>
  <c r="H19" i="7"/>
  <c r="G19" i="7"/>
  <c r="F19" i="7"/>
  <c r="E19" i="7"/>
  <c r="D19" i="7"/>
  <c r="C19" i="7"/>
  <c r="B19" i="7"/>
  <c r="I19" i="7"/>
  <c r="L18" i="7"/>
  <c r="H18" i="7"/>
  <c r="G18" i="7"/>
  <c r="F18" i="7"/>
  <c r="E18" i="7"/>
  <c r="D18" i="7"/>
  <c r="C18" i="7"/>
  <c r="B18" i="7"/>
  <c r="I18" i="7"/>
  <c r="L17" i="7"/>
  <c r="H17" i="7"/>
  <c r="G17" i="7"/>
  <c r="F17" i="7"/>
  <c r="E17" i="7"/>
  <c r="D17" i="7"/>
  <c r="C17" i="7"/>
  <c r="B17" i="7"/>
  <c r="I17" i="7"/>
  <c r="L16" i="7"/>
  <c r="H16" i="7"/>
  <c r="G16" i="7"/>
  <c r="F16" i="7"/>
  <c r="E16" i="7"/>
  <c r="D16" i="7"/>
  <c r="C16" i="7"/>
  <c r="B16" i="7"/>
  <c r="I16" i="7"/>
  <c r="L15" i="7"/>
  <c r="H15" i="7"/>
  <c r="G15" i="7"/>
  <c r="K15" i="7"/>
  <c r="F15" i="7"/>
  <c r="E15" i="7"/>
  <c r="D15" i="7"/>
  <c r="C15" i="7"/>
  <c r="B15" i="7"/>
  <c r="I15" i="7"/>
  <c r="L14" i="7"/>
  <c r="H14" i="7"/>
  <c r="G14" i="7"/>
  <c r="K14" i="7"/>
  <c r="F14" i="7"/>
  <c r="E14" i="7"/>
  <c r="D14" i="7"/>
  <c r="C14" i="7"/>
  <c r="B14" i="7"/>
  <c r="I14" i="7"/>
  <c r="L13" i="7"/>
  <c r="H13" i="7"/>
  <c r="G13" i="7"/>
  <c r="F13" i="7"/>
  <c r="E13" i="7"/>
  <c r="D13" i="7"/>
  <c r="C13" i="7"/>
  <c r="B13" i="7"/>
  <c r="I13" i="7"/>
  <c r="L12" i="7"/>
  <c r="H12" i="7"/>
  <c r="G12" i="7"/>
  <c r="K12" i="7"/>
  <c r="F12" i="7"/>
  <c r="E12" i="7"/>
  <c r="D12" i="7"/>
  <c r="C12" i="7"/>
  <c r="B12" i="7"/>
  <c r="I12" i="7"/>
  <c r="S11" i="7"/>
  <c r="L11" i="7"/>
  <c r="H11" i="7"/>
  <c r="G11" i="7"/>
  <c r="K11" i="7"/>
  <c r="P11" i="7"/>
  <c r="F11" i="7"/>
  <c r="E11" i="7"/>
  <c r="D11" i="7"/>
  <c r="C11" i="7"/>
  <c r="B11" i="7"/>
  <c r="I11" i="7"/>
  <c r="S10" i="7"/>
  <c r="L10" i="7"/>
  <c r="H10" i="7"/>
  <c r="G10" i="7"/>
  <c r="F10" i="7"/>
  <c r="E10" i="7"/>
  <c r="D10" i="7"/>
  <c r="C10" i="7"/>
  <c r="B10" i="7"/>
  <c r="I10" i="7"/>
  <c r="N10" i="7"/>
  <c r="S9" i="7"/>
  <c r="L9" i="7"/>
  <c r="H9" i="7"/>
  <c r="G9" i="7"/>
  <c r="K9" i="7"/>
  <c r="F9" i="7"/>
  <c r="E9" i="7"/>
  <c r="D9" i="7"/>
  <c r="C9" i="7"/>
  <c r="B9" i="7"/>
  <c r="I9" i="7"/>
  <c r="S8" i="7"/>
  <c r="L8" i="7"/>
  <c r="H8" i="7"/>
  <c r="G8" i="7"/>
  <c r="K8" i="7"/>
  <c r="P8" i="7"/>
  <c r="F8" i="7"/>
  <c r="E8" i="7"/>
  <c r="D8" i="7"/>
  <c r="C8" i="7"/>
  <c r="B8" i="7"/>
  <c r="I8" i="7"/>
  <c r="S7" i="7"/>
  <c r="L7" i="7"/>
  <c r="H7" i="7"/>
  <c r="G7" i="7"/>
  <c r="F7" i="7"/>
  <c r="E7" i="7"/>
  <c r="D7" i="7"/>
  <c r="C7" i="7"/>
  <c r="B7" i="7"/>
  <c r="I7" i="7"/>
  <c r="S6" i="7"/>
  <c r="L6" i="7"/>
  <c r="H6" i="7"/>
  <c r="G6" i="7"/>
  <c r="F6" i="7"/>
  <c r="E6" i="7"/>
  <c r="D6" i="7"/>
  <c r="C6" i="7"/>
  <c r="B6" i="7"/>
  <c r="I6" i="7"/>
  <c r="N6" i="7"/>
  <c r="S5" i="7"/>
  <c r="L5" i="7"/>
  <c r="H5" i="7"/>
  <c r="G5" i="7"/>
  <c r="F5" i="7"/>
  <c r="E5" i="7"/>
  <c r="D5" i="7"/>
  <c r="C5" i="7"/>
  <c r="B5" i="7"/>
  <c r="I5" i="7"/>
  <c r="S4" i="7"/>
  <c r="L4" i="7"/>
  <c r="H4" i="7"/>
  <c r="G4" i="7"/>
  <c r="F4" i="7"/>
  <c r="E4" i="7"/>
  <c r="D4" i="7"/>
  <c r="C4" i="7"/>
  <c r="B4" i="7"/>
  <c r="I4" i="7"/>
  <c r="S3" i="7"/>
  <c r="L3" i="7"/>
  <c r="H3" i="7"/>
  <c r="G3" i="7"/>
  <c r="F3" i="7"/>
  <c r="E3" i="7"/>
  <c r="D3" i="7"/>
  <c r="C3" i="7"/>
  <c r="B3" i="7"/>
  <c r="I3" i="7"/>
  <c r="T5" i="12"/>
  <c r="M21" i="7"/>
  <c r="K25" i="7"/>
  <c r="K27" i="7"/>
  <c r="N3" i="12"/>
  <c r="T10" i="12"/>
  <c r="K29" i="12"/>
  <c r="J29" i="12"/>
  <c r="K12" i="12"/>
  <c r="T7" i="12"/>
  <c r="T11" i="12"/>
  <c r="N11" i="12"/>
  <c r="K6" i="12"/>
  <c r="P6" i="12"/>
  <c r="K19" i="12"/>
  <c r="K9" i="12"/>
  <c r="P9" i="12"/>
  <c r="BD2" i="12"/>
  <c r="K14" i="12"/>
  <c r="K28" i="12"/>
  <c r="N15" i="12"/>
  <c r="N16" i="12"/>
  <c r="BG19" i="12"/>
  <c r="BG24" i="12"/>
  <c r="BG20" i="12"/>
  <c r="BG32" i="12"/>
  <c r="BG26" i="12"/>
  <c r="BG14" i="12"/>
  <c r="Z10" i="12"/>
  <c r="Z15" i="12"/>
  <c r="AD15" i="12"/>
  <c r="Y11" i="12"/>
  <c r="BF24" i="12"/>
  <c r="BF18" i="12"/>
  <c r="BF30" i="12"/>
  <c r="BF36" i="12"/>
  <c r="BF31" i="12"/>
  <c r="BF37" i="12"/>
  <c r="BF25" i="12"/>
  <c r="BF19" i="12"/>
  <c r="Y25" i="12"/>
  <c r="AC25" i="12"/>
  <c r="Z19" i="12"/>
  <c r="AH19" i="12"/>
  <c r="AB29" i="12"/>
  <c r="AB25" i="12"/>
  <c r="AF25" i="12"/>
  <c r="AB27" i="12"/>
  <c r="AJ27" i="12"/>
  <c r="AB23" i="12"/>
  <c r="AF23" i="12"/>
  <c r="AB21" i="12"/>
  <c r="AB17" i="12"/>
  <c r="AF17" i="12"/>
  <c r="AA19" i="12"/>
  <c r="AI19" i="12"/>
  <c r="Y10" i="12"/>
  <c r="AG10" i="12"/>
  <c r="AB9" i="12"/>
  <c r="AF9" i="12"/>
  <c r="Z13" i="12"/>
  <c r="AD13" i="12"/>
  <c r="AB11" i="12"/>
  <c r="AF11" i="12"/>
  <c r="BG33" i="12"/>
  <c r="BG27" i="12"/>
  <c r="BG15" i="12"/>
  <c r="BG35" i="12"/>
  <c r="BG29" i="12"/>
  <c r="BG23" i="12"/>
  <c r="BG17" i="12"/>
  <c r="AB13" i="12"/>
  <c r="Y9" i="12"/>
  <c r="AZ11" i="12"/>
  <c r="BF28" i="12"/>
  <c r="BF22" i="12"/>
  <c r="BF16" i="12"/>
  <c r="BF34" i="12"/>
  <c r="Y21" i="12"/>
  <c r="AC21" i="12"/>
  <c r="BF35" i="12"/>
  <c r="BF29" i="12"/>
  <c r="BF23" i="12"/>
  <c r="BF17" i="12"/>
  <c r="BG37" i="12"/>
  <c r="BG25" i="12"/>
  <c r="BF14" i="12"/>
  <c r="BF20" i="12"/>
  <c r="BG22" i="12"/>
  <c r="BF32" i="12"/>
  <c r="BF33" i="12"/>
  <c r="BF27" i="12"/>
  <c r="BF21" i="12"/>
  <c r="BG16" i="12"/>
  <c r="BG34" i="12"/>
  <c r="BG30" i="12"/>
  <c r="BG36" i="12"/>
  <c r="BF15" i="12"/>
  <c r="BI36" i="7"/>
  <c r="BI35" i="7"/>
  <c r="BI34" i="7"/>
  <c r="BI33" i="7"/>
  <c r="BI32" i="7"/>
  <c r="BI30" i="7"/>
  <c r="BI29" i="7"/>
  <c r="BI28" i="7"/>
  <c r="BI27" i="7"/>
  <c r="BI26" i="7"/>
  <c r="BI24" i="7"/>
  <c r="BI23" i="7"/>
  <c r="BI22" i="7"/>
  <c r="BI21" i="7"/>
  <c r="BI20" i="7"/>
  <c r="BI18" i="7"/>
  <c r="BI17" i="7"/>
  <c r="BI16" i="7"/>
  <c r="BI15" i="7"/>
  <c r="BI14" i="7"/>
  <c r="BG13" i="7"/>
  <c r="BG25" i="7"/>
  <c r="BF13" i="7"/>
  <c r="BF37" i="7"/>
  <c r="BG12" i="7"/>
  <c r="BG36" i="7"/>
  <c r="BF12" i="7"/>
  <c r="BF30" i="7"/>
  <c r="BG11" i="7"/>
  <c r="BG23" i="7"/>
  <c r="BF11" i="7"/>
  <c r="BF17" i="7"/>
  <c r="BG10" i="7"/>
  <c r="BG34" i="7"/>
  <c r="BF10" i="7"/>
  <c r="BF28" i="7"/>
  <c r="BG9" i="7"/>
  <c r="BG21" i="7"/>
  <c r="BF9" i="7"/>
  <c r="BF15" i="7"/>
  <c r="BG8" i="7"/>
  <c r="BG32" i="7"/>
  <c r="BF8" i="7"/>
  <c r="BF26" i="7"/>
  <c r="BI36" i="1"/>
  <c r="BI35" i="1"/>
  <c r="BI34" i="1"/>
  <c r="BI33" i="1"/>
  <c r="BI32" i="1"/>
  <c r="BI30" i="1"/>
  <c r="BI29" i="1"/>
  <c r="BI28" i="1"/>
  <c r="BI27" i="1"/>
  <c r="BI26" i="1"/>
  <c r="BI24" i="1"/>
  <c r="BI23" i="1"/>
  <c r="BI22" i="1"/>
  <c r="BI21" i="1"/>
  <c r="BI20" i="1"/>
  <c r="BI18" i="1"/>
  <c r="BI17" i="1"/>
  <c r="BI16" i="1"/>
  <c r="BI15" i="1"/>
  <c r="BI14" i="1"/>
  <c r="AF13" i="12"/>
  <c r="AD23" i="12"/>
  <c r="AJ17" i="12"/>
  <c r="AJ25" i="12"/>
  <c r="AC10" i="12"/>
  <c r="AF27" i="12"/>
  <c r="AZ10" i="12"/>
  <c r="AZ9" i="12"/>
  <c r="AC11" i="12"/>
  <c r="AG11" i="12"/>
  <c r="BG35" i="7"/>
  <c r="BF36" i="7"/>
  <c r="BF20" i="7"/>
  <c r="BF14" i="7"/>
  <c r="BG17" i="7"/>
  <c r="BF18" i="7"/>
  <c r="BG29" i="7"/>
  <c r="BG22" i="7"/>
  <c r="BF24" i="7"/>
  <c r="BG19" i="7"/>
  <c r="BF32" i="7"/>
  <c r="BG15" i="7"/>
  <c r="BF22" i="7"/>
  <c r="BG28" i="7"/>
  <c r="BF29" i="7"/>
  <c r="BF35" i="7"/>
  <c r="BG26" i="7"/>
  <c r="BG30" i="7"/>
  <c r="BF33" i="7"/>
  <c r="BF16" i="7"/>
  <c r="BG20" i="7"/>
  <c r="BG24" i="7"/>
  <c r="BF27" i="7"/>
  <c r="BF31" i="7"/>
  <c r="BG33" i="7"/>
  <c r="BG37" i="7"/>
  <c r="BG14" i="7"/>
  <c r="BG16" i="7"/>
  <c r="BG18" i="7"/>
  <c r="BF21" i="7"/>
  <c r="BF23" i="7"/>
  <c r="BF25" i="7"/>
  <c r="BG27" i="7"/>
  <c r="BG31" i="7"/>
  <c r="BF34" i="7"/>
  <c r="BF19" i="7"/>
  <c r="BG13" i="1"/>
  <c r="BG12" i="1"/>
  <c r="BG11" i="1"/>
  <c r="BG10" i="1"/>
  <c r="BG9" i="1"/>
  <c r="BG8" i="1"/>
  <c r="BF13" i="1"/>
  <c r="BF12" i="1"/>
  <c r="BF11" i="1"/>
  <c r="BF10" i="1"/>
  <c r="BF9" i="1"/>
  <c r="BF8" i="1"/>
  <c r="BG34" i="1"/>
  <c r="BG28" i="1"/>
  <c r="BG16" i="1"/>
  <c r="BG22" i="1"/>
  <c r="BF33" i="1"/>
  <c r="BF21" i="1"/>
  <c r="BF27" i="1"/>
  <c r="BF15" i="1"/>
  <c r="BF37" i="1"/>
  <c r="BF25" i="1"/>
  <c r="BF19" i="1"/>
  <c r="BF31" i="1"/>
  <c r="BG29" i="1"/>
  <c r="BG17" i="1"/>
  <c r="BG35" i="1"/>
  <c r="BG23" i="1"/>
  <c r="BF30" i="1"/>
  <c r="BF18" i="1"/>
  <c r="BF36" i="1"/>
  <c r="BF24" i="1"/>
  <c r="BF28" i="1"/>
  <c r="BF16" i="1"/>
  <c r="BF34" i="1"/>
  <c r="BF22" i="1"/>
  <c r="BG26" i="1"/>
  <c r="BG32" i="1"/>
  <c r="BG20" i="1"/>
  <c r="BG14" i="1"/>
  <c r="BG18" i="1"/>
  <c r="BG36" i="1"/>
  <c r="BG24" i="1"/>
  <c r="BG30" i="1"/>
  <c r="BF32" i="1"/>
  <c r="BF20" i="1"/>
  <c r="BF26" i="1"/>
  <c r="BF14" i="1"/>
  <c r="BF29" i="1"/>
  <c r="BF17" i="1"/>
  <c r="BF35" i="1"/>
  <c r="BF23" i="1"/>
  <c r="BG33" i="1"/>
  <c r="BG21" i="1"/>
  <c r="BG27" i="1"/>
  <c r="BG15" i="1"/>
  <c r="BG37" i="1"/>
  <c r="BG25" i="1"/>
  <c r="BG31" i="1"/>
  <c r="BG19" i="1"/>
  <c r="Z4" i="7"/>
  <c r="X29" i="7"/>
  <c r="BN37" i="7"/>
  <c r="W29" i="7"/>
  <c r="BN31" i="7"/>
  <c r="V29" i="7"/>
  <c r="BN25" i="7"/>
  <c r="U29" i="7"/>
  <c r="BN19" i="7"/>
  <c r="X27" i="7"/>
  <c r="Z5" i="7"/>
  <c r="X9" i="7"/>
  <c r="AB27" i="7"/>
  <c r="W27" i="7"/>
  <c r="W9" i="7"/>
  <c r="AA27" i="7"/>
  <c r="V27" i="7"/>
  <c r="U27" i="7"/>
  <c r="U9" i="7"/>
  <c r="Y27" i="7"/>
  <c r="X25" i="7"/>
  <c r="BN36" i="7"/>
  <c r="W25" i="7"/>
  <c r="BN30" i="7"/>
  <c r="V25" i="7"/>
  <c r="BN24" i="7"/>
  <c r="U25" i="7"/>
  <c r="BN18" i="7"/>
  <c r="X23" i="7"/>
  <c r="W23" i="7"/>
  <c r="AA23" i="7"/>
  <c r="V23" i="7"/>
  <c r="U23" i="7"/>
  <c r="Y23" i="7"/>
  <c r="AC23" i="7"/>
  <c r="X21" i="7"/>
  <c r="BN35" i="7"/>
  <c r="W21" i="7"/>
  <c r="BN29" i="7"/>
  <c r="V21" i="7"/>
  <c r="BN23" i="7"/>
  <c r="U21" i="7"/>
  <c r="BN17" i="7"/>
  <c r="X19" i="7"/>
  <c r="AB19" i="7"/>
  <c r="W19" i="7"/>
  <c r="V19" i="7"/>
  <c r="U19" i="7"/>
  <c r="Y19" i="7"/>
  <c r="X17" i="7"/>
  <c r="BN34" i="7"/>
  <c r="W17" i="7"/>
  <c r="BN28" i="7"/>
  <c r="V17" i="7"/>
  <c r="BN22" i="7"/>
  <c r="U17" i="7"/>
  <c r="BN16" i="7"/>
  <c r="X15" i="7"/>
  <c r="AB15" i="7"/>
  <c r="W15" i="7"/>
  <c r="V15" i="7"/>
  <c r="U15" i="7"/>
  <c r="Y15" i="7"/>
  <c r="AC15" i="7"/>
  <c r="X13" i="7"/>
  <c r="BN33" i="7"/>
  <c r="W13" i="7"/>
  <c r="BN27" i="7"/>
  <c r="V13" i="7"/>
  <c r="BN21" i="7"/>
  <c r="U13" i="7"/>
  <c r="BN15" i="7"/>
  <c r="X11" i="7"/>
  <c r="AB11" i="7"/>
  <c r="W11" i="7"/>
  <c r="AA11" i="7"/>
  <c r="V11" i="7"/>
  <c r="U11" i="7"/>
  <c r="Y11" i="7"/>
  <c r="AG11" i="7"/>
  <c r="X10" i="7"/>
  <c r="W10" i="7"/>
  <c r="V10" i="7"/>
  <c r="U10" i="7"/>
  <c r="Y10" i="7"/>
  <c r="BN32" i="7"/>
  <c r="BN26" i="7"/>
  <c r="V9" i="7"/>
  <c r="BN20" i="7"/>
  <c r="BN14" i="7"/>
  <c r="X2" i="7"/>
  <c r="AB2" i="7"/>
  <c r="AF2" i="7"/>
  <c r="AJ2" i="7"/>
  <c r="W2" i="7"/>
  <c r="AA2" i="7"/>
  <c r="AE2" i="7"/>
  <c r="AI2" i="7"/>
  <c r="V2" i="7"/>
  <c r="Z2" i="7"/>
  <c r="AD2" i="7"/>
  <c r="AH2" i="7"/>
  <c r="U2" i="7"/>
  <c r="Y2" i="7"/>
  <c r="AC2" i="7"/>
  <c r="AG2" i="7"/>
  <c r="AB25" i="7"/>
  <c r="AF25" i="7"/>
  <c r="Y21" i="7"/>
  <c r="BO17" i="7"/>
  <c r="AA15" i="7"/>
  <c r="AA25" i="7"/>
  <c r="AI25" i="7"/>
  <c r="AB23" i="7"/>
  <c r="Y17" i="7"/>
  <c r="Z15" i="7"/>
  <c r="AH15" i="7"/>
  <c r="AA9" i="7"/>
  <c r="BO26" i="7"/>
  <c r="Y29" i="7"/>
  <c r="BO19" i="7"/>
  <c r="Z25" i="7"/>
  <c r="BO24" i="7"/>
  <c r="AA21" i="7"/>
  <c r="AB17" i="7"/>
  <c r="BO34" i="7"/>
  <c r="Y13" i="7"/>
  <c r="BO15" i="7"/>
  <c r="AB10" i="7"/>
  <c r="AJ10" i="7"/>
  <c r="Y25" i="7"/>
  <c r="BO18" i="7"/>
  <c r="AA17" i="7"/>
  <c r="AI17" i="7"/>
  <c r="Y9" i="7"/>
  <c r="AZ10" i="7"/>
  <c r="AZ16" i="7"/>
  <c r="AA10" i="7"/>
  <c r="AA19" i="7"/>
  <c r="AZ9" i="7"/>
  <c r="AZ15" i="7"/>
  <c r="AZ11" i="7"/>
  <c r="AZ17" i="7"/>
  <c r="AE17" i="7"/>
  <c r="AG29" i="7"/>
  <c r="AG21" i="7"/>
  <c r="AC13" i="7"/>
  <c r="AG25" i="7"/>
  <c r="AC25" i="7"/>
  <c r="AF17" i="7"/>
  <c r="AI9" i="7"/>
  <c r="AE9" i="7"/>
  <c r="AG23" i="7"/>
  <c r="AG17" i="7"/>
  <c r="BN25" i="1"/>
  <c r="BN19" i="1"/>
  <c r="V10" i="1"/>
  <c r="Z10" i="1"/>
  <c r="V23" i="1"/>
  <c r="Z23" i="1"/>
  <c r="BN24" i="1"/>
  <c r="W11" i="1"/>
  <c r="AA11" i="1"/>
  <c r="X11" i="1"/>
  <c r="AB11" i="1"/>
  <c r="W15" i="1"/>
  <c r="BN22" i="1"/>
  <c r="BN26" i="1"/>
  <c r="W10" i="1"/>
  <c r="BN33" i="1"/>
  <c r="BN28" i="1"/>
  <c r="W23" i="1"/>
  <c r="AA23" i="1"/>
  <c r="X27" i="1"/>
  <c r="AB27" i="1"/>
  <c r="X10" i="1"/>
  <c r="X15" i="1"/>
  <c r="AB15" i="1"/>
  <c r="AF15" i="1"/>
  <c r="BN34" i="1"/>
  <c r="X23" i="1"/>
  <c r="AB23" i="1"/>
  <c r="AJ23" i="1"/>
  <c r="V11" i="1"/>
  <c r="BN21" i="1"/>
  <c r="V19" i="1"/>
  <c r="Z19" i="1"/>
  <c r="AD19" i="1"/>
  <c r="BN23" i="1"/>
  <c r="V27" i="1"/>
  <c r="Z27" i="1"/>
  <c r="BN18" i="1"/>
  <c r="U27" i="1"/>
  <c r="Y27" i="1"/>
  <c r="AG27" i="1"/>
  <c r="BN17" i="1"/>
  <c r="U10" i="1"/>
  <c r="U11" i="1"/>
  <c r="Y11" i="1"/>
  <c r="BN15" i="1"/>
  <c r="BN16" i="1"/>
  <c r="U19" i="1"/>
  <c r="V2" i="1"/>
  <c r="Z2" i="1"/>
  <c r="AD2" i="1"/>
  <c r="AH2" i="1"/>
  <c r="W2" i="1"/>
  <c r="AA2" i="1"/>
  <c r="AE2" i="1"/>
  <c r="AI2" i="1"/>
  <c r="X2" i="1"/>
  <c r="AB2" i="1"/>
  <c r="AF2" i="1"/>
  <c r="AJ2" i="1"/>
  <c r="U2" i="1"/>
  <c r="Y2" i="1"/>
  <c r="AC2" i="1"/>
  <c r="AG2" i="1"/>
  <c r="AB10" i="1"/>
  <c r="Z11" i="1"/>
  <c r="BN27" i="1"/>
  <c r="BN37" i="1"/>
  <c r="BN36" i="1"/>
  <c r="BN29" i="1"/>
  <c r="AH9" i="1"/>
  <c r="BN20" i="1"/>
  <c r="BN14" i="1"/>
  <c r="BN32" i="1"/>
  <c r="Y10" i="1"/>
  <c r="Y19" i="1"/>
  <c r="AC19" i="1"/>
  <c r="V15" i="1"/>
  <c r="Z15" i="1"/>
  <c r="AH15" i="1"/>
  <c r="X19" i="1"/>
  <c r="AB19" i="1"/>
  <c r="AJ19" i="1"/>
  <c r="W27" i="1"/>
  <c r="AA27" i="1"/>
  <c r="AE27" i="1"/>
  <c r="W19" i="1"/>
  <c r="AA19" i="1"/>
  <c r="U15" i="1"/>
  <c r="Y15" i="1"/>
  <c r="AG15" i="1"/>
  <c r="U23" i="1"/>
  <c r="Y23" i="1"/>
  <c r="AD9" i="1"/>
  <c r="BN30" i="1"/>
  <c r="BN35" i="1"/>
  <c r="BN31" i="1"/>
  <c r="AD21" i="1"/>
  <c r="AH21" i="1"/>
  <c r="AD13" i="1"/>
  <c r="AH13" i="1"/>
  <c r="AC15" i="1"/>
  <c r="AF13" i="1"/>
  <c r="S4" i="1"/>
  <c r="S5" i="1"/>
  <c r="S6" i="1"/>
  <c r="S7" i="1"/>
  <c r="S8" i="1"/>
  <c r="S9" i="1"/>
  <c r="S10" i="1"/>
  <c r="S11" i="1"/>
  <c r="S3" i="1"/>
  <c r="L4" i="1"/>
  <c r="L6" i="1"/>
  <c r="L7" i="1"/>
  <c r="L8" i="1"/>
  <c r="L10" i="1"/>
  <c r="L11" i="1"/>
  <c r="L3" i="1"/>
  <c r="L14" i="1"/>
  <c r="L15" i="1"/>
  <c r="L16" i="1"/>
  <c r="L18" i="1"/>
  <c r="B18" i="1"/>
  <c r="I18" i="1"/>
  <c r="N18" i="1"/>
  <c r="L19" i="1"/>
  <c r="L20" i="1"/>
  <c r="L22" i="1"/>
  <c r="L23" i="1"/>
  <c r="L24" i="1"/>
  <c r="B25" i="1"/>
  <c r="I25" i="1"/>
  <c r="N25" i="1"/>
  <c r="L26" i="1"/>
  <c r="L27" i="1"/>
  <c r="L28" i="1"/>
  <c r="L12" i="1"/>
  <c r="B6" i="1"/>
  <c r="I6" i="1"/>
  <c r="C6" i="1"/>
  <c r="D6" i="1"/>
  <c r="E6" i="1"/>
  <c r="F6" i="1"/>
  <c r="G6" i="1"/>
  <c r="H6" i="1"/>
  <c r="B7" i="1"/>
  <c r="I7" i="1"/>
  <c r="C7" i="1"/>
  <c r="D7" i="1"/>
  <c r="E7" i="1"/>
  <c r="F7" i="1"/>
  <c r="G7" i="1"/>
  <c r="H7" i="1"/>
  <c r="B8" i="1"/>
  <c r="I8" i="1"/>
  <c r="N8" i="1"/>
  <c r="C8" i="1"/>
  <c r="D8" i="1"/>
  <c r="E8" i="1"/>
  <c r="F8" i="1"/>
  <c r="G8" i="1"/>
  <c r="H8" i="1"/>
  <c r="B9" i="1"/>
  <c r="I9" i="1"/>
  <c r="B10" i="1"/>
  <c r="I10" i="1"/>
  <c r="C10" i="1"/>
  <c r="D10" i="1"/>
  <c r="E10" i="1"/>
  <c r="F10" i="1"/>
  <c r="G10" i="1"/>
  <c r="H10" i="1"/>
  <c r="B11" i="1"/>
  <c r="I11" i="1"/>
  <c r="N11" i="1"/>
  <c r="C11" i="1"/>
  <c r="D11" i="1"/>
  <c r="E11" i="1"/>
  <c r="F11" i="1"/>
  <c r="J11" i="1"/>
  <c r="O11" i="1"/>
  <c r="G11" i="1"/>
  <c r="H11" i="1"/>
  <c r="B12" i="1"/>
  <c r="I12" i="1"/>
  <c r="C12" i="1"/>
  <c r="D12" i="1"/>
  <c r="E12" i="1"/>
  <c r="F12" i="1"/>
  <c r="G12" i="1"/>
  <c r="H12" i="1"/>
  <c r="K12" i="1"/>
  <c r="B13" i="1"/>
  <c r="I13" i="1"/>
  <c r="B14" i="1"/>
  <c r="I14" i="1"/>
  <c r="C14" i="1"/>
  <c r="D14" i="1"/>
  <c r="E14" i="1"/>
  <c r="F14" i="1"/>
  <c r="G14" i="1"/>
  <c r="H14" i="1"/>
  <c r="B15" i="1"/>
  <c r="I15" i="1"/>
  <c r="C15" i="1"/>
  <c r="D15" i="1"/>
  <c r="E15" i="1"/>
  <c r="F15" i="1"/>
  <c r="G15" i="1"/>
  <c r="H15" i="1"/>
  <c r="B16" i="1"/>
  <c r="I16" i="1"/>
  <c r="C16" i="1"/>
  <c r="D16" i="1"/>
  <c r="E16" i="1"/>
  <c r="F16" i="1"/>
  <c r="G16" i="1"/>
  <c r="H16" i="1"/>
  <c r="B17" i="1"/>
  <c r="I17" i="1"/>
  <c r="C18" i="1"/>
  <c r="D18" i="1"/>
  <c r="E18" i="1"/>
  <c r="F18" i="1"/>
  <c r="G18" i="1"/>
  <c r="H18" i="1"/>
  <c r="B19" i="1"/>
  <c r="I19" i="1"/>
  <c r="C19" i="1"/>
  <c r="D19" i="1"/>
  <c r="E19" i="1"/>
  <c r="F19" i="1"/>
  <c r="G19" i="1"/>
  <c r="H19" i="1"/>
  <c r="B20" i="1"/>
  <c r="I20" i="1"/>
  <c r="C20" i="1"/>
  <c r="D20" i="1"/>
  <c r="E20" i="1"/>
  <c r="F20" i="1"/>
  <c r="G20" i="1"/>
  <c r="H20" i="1"/>
  <c r="B21" i="1"/>
  <c r="I21" i="1"/>
  <c r="B22" i="1"/>
  <c r="I22" i="1"/>
  <c r="C22" i="1"/>
  <c r="D22" i="1"/>
  <c r="E22" i="1"/>
  <c r="F22" i="1"/>
  <c r="G22" i="1"/>
  <c r="H22" i="1"/>
  <c r="B23" i="1"/>
  <c r="I23" i="1"/>
  <c r="C23" i="1"/>
  <c r="D23" i="1"/>
  <c r="E23" i="1"/>
  <c r="F23" i="1"/>
  <c r="G23" i="1"/>
  <c r="H23" i="1"/>
  <c r="B24" i="1"/>
  <c r="I24" i="1"/>
  <c r="C24" i="1"/>
  <c r="D24" i="1"/>
  <c r="E24" i="1"/>
  <c r="F24" i="1"/>
  <c r="G24" i="1"/>
  <c r="H24" i="1"/>
  <c r="B26" i="1"/>
  <c r="I26" i="1"/>
  <c r="C26" i="1"/>
  <c r="D26" i="1"/>
  <c r="E26" i="1"/>
  <c r="F26" i="1"/>
  <c r="G26" i="1"/>
  <c r="H26" i="1"/>
  <c r="B27" i="1"/>
  <c r="I27" i="1"/>
  <c r="C27" i="1"/>
  <c r="D27" i="1"/>
  <c r="E27" i="1"/>
  <c r="F27" i="1"/>
  <c r="G27" i="1"/>
  <c r="H27" i="1"/>
  <c r="B28" i="1"/>
  <c r="I28" i="1"/>
  <c r="C28" i="1"/>
  <c r="D28" i="1"/>
  <c r="E28" i="1"/>
  <c r="F28" i="1"/>
  <c r="G28" i="1"/>
  <c r="H28" i="1"/>
  <c r="B29" i="1"/>
  <c r="I29" i="1"/>
  <c r="B5" i="1"/>
  <c r="I5" i="1"/>
  <c r="N5" i="1"/>
  <c r="B4" i="1"/>
  <c r="I4" i="1"/>
  <c r="N4" i="1"/>
  <c r="C4" i="1"/>
  <c r="D4" i="1"/>
  <c r="E4" i="1"/>
  <c r="F4" i="1"/>
  <c r="G4" i="1"/>
  <c r="H4" i="1"/>
  <c r="H3" i="1"/>
  <c r="G3" i="1"/>
  <c r="F3" i="1"/>
  <c r="E3" i="1"/>
  <c r="D3" i="1"/>
  <c r="C3" i="1"/>
  <c r="J3" i="1"/>
  <c r="O3" i="1"/>
  <c r="B3" i="1"/>
  <c r="I3" i="1"/>
  <c r="N3" i="1"/>
  <c r="N7" i="1"/>
  <c r="N10" i="1"/>
  <c r="T10" i="1"/>
  <c r="N6" i="1"/>
  <c r="T11" i="1"/>
  <c r="T9" i="1"/>
  <c r="T3" i="1"/>
  <c r="T8" i="1"/>
  <c r="T4" i="1"/>
  <c r="K22" i="1"/>
  <c r="J19" i="1"/>
  <c r="K27" i="1"/>
  <c r="P14" i="7"/>
  <c r="P26" i="7"/>
  <c r="N20" i="1"/>
  <c r="N13" i="12"/>
  <c r="M13" i="12"/>
  <c r="N18" i="12"/>
  <c r="P22" i="1"/>
  <c r="N26" i="1"/>
  <c r="N22" i="1"/>
  <c r="N13" i="7"/>
  <c r="N20" i="7"/>
  <c r="N21" i="7"/>
  <c r="N28" i="7"/>
  <c r="N29" i="7"/>
  <c r="AE15" i="12"/>
  <c r="AI15" i="12"/>
  <c r="AG19" i="12"/>
  <c r="AC19" i="12"/>
  <c r="AZ17" i="12"/>
  <c r="BO34" i="12"/>
  <c r="AA25" i="12"/>
  <c r="Y29" i="12"/>
  <c r="AC29" i="12"/>
  <c r="N4" i="12"/>
  <c r="N5" i="12"/>
  <c r="K8" i="12"/>
  <c r="BN32" i="12"/>
  <c r="AA10" i="12"/>
  <c r="K13" i="12"/>
  <c r="P13" i="12"/>
  <c r="BD3" i="12"/>
  <c r="K17" i="12"/>
  <c r="Y23" i="12"/>
  <c r="N26" i="12"/>
  <c r="AJ11" i="12"/>
  <c r="AA21" i="12"/>
  <c r="AA23" i="12"/>
  <c r="BN20" i="12"/>
  <c r="AB10" i="12"/>
  <c r="Y15" i="12"/>
  <c r="Y27" i="12"/>
  <c r="AE19" i="12"/>
  <c r="AG25" i="12"/>
  <c r="AA11" i="12"/>
  <c r="AI11" i="12"/>
  <c r="AA9" i="12"/>
  <c r="AI9" i="12"/>
  <c r="AA27" i="12"/>
  <c r="BO36" i="12"/>
  <c r="AB19" i="12"/>
  <c r="AF19" i="12"/>
  <c r="AJ15" i="7"/>
  <c r="AF15" i="7"/>
  <c r="AF11" i="7"/>
  <c r="AJ11" i="7"/>
  <c r="AJ19" i="7"/>
  <c r="AF19" i="7"/>
  <c r="AF27" i="7"/>
  <c r="AJ27" i="7"/>
  <c r="AJ17" i="7"/>
  <c r="AD25" i="7"/>
  <c r="AF10" i="7"/>
  <c r="AC9" i="7"/>
  <c r="AC21" i="7"/>
  <c r="AZ8" i="7"/>
  <c r="AB29" i="7"/>
  <c r="AZ37" i="7"/>
  <c r="AB13" i="7"/>
  <c r="BO33" i="7"/>
  <c r="Z21" i="7"/>
  <c r="Z10" i="7"/>
  <c r="AH10" i="7"/>
  <c r="AA13" i="7"/>
  <c r="AZ27" i="7"/>
  <c r="Z19" i="7"/>
  <c r="AH19" i="7"/>
  <c r="AA29" i="7"/>
  <c r="AE29" i="7"/>
  <c r="K6" i="7"/>
  <c r="P6" i="7"/>
  <c r="J6" i="7"/>
  <c r="O6" i="7"/>
  <c r="R6" i="7"/>
  <c r="N8" i="7"/>
  <c r="K10" i="7"/>
  <c r="N11" i="7"/>
  <c r="T11" i="7"/>
  <c r="M17" i="7"/>
  <c r="Z11" i="7"/>
  <c r="AH11" i="7"/>
  <c r="Z27" i="7"/>
  <c r="AH27" i="7"/>
  <c r="AB9" i="7"/>
  <c r="Z17" i="7"/>
  <c r="AE25" i="7"/>
  <c r="AD15" i="7"/>
  <c r="AH25" i="7"/>
  <c r="AG15" i="7"/>
  <c r="AZ12" i="7"/>
  <c r="AZ18" i="7"/>
  <c r="Z9" i="7"/>
  <c r="Z23" i="7"/>
  <c r="Z13" i="7"/>
  <c r="AB21" i="7"/>
  <c r="Z29" i="7"/>
  <c r="J23" i="7"/>
  <c r="O23" i="7"/>
  <c r="J24" i="7"/>
  <c r="J25" i="7"/>
  <c r="N26" i="7"/>
  <c r="BO32" i="1"/>
  <c r="AJ9" i="1"/>
  <c r="AF9" i="1"/>
  <c r="BO34" i="1"/>
  <c r="AJ17" i="1"/>
  <c r="AF17" i="1"/>
  <c r="J27" i="1"/>
  <c r="K26" i="1"/>
  <c r="P26" i="1"/>
  <c r="J26" i="1"/>
  <c r="J22" i="1"/>
  <c r="K15" i="1"/>
  <c r="P15" i="1"/>
  <c r="K11" i="1"/>
  <c r="P11" i="1"/>
  <c r="R11" i="1"/>
  <c r="N9" i="1"/>
  <c r="AG19" i="1"/>
  <c r="AD15" i="1"/>
  <c r="K16" i="7"/>
  <c r="K17" i="7"/>
  <c r="K18" i="7"/>
  <c r="K19" i="7"/>
  <c r="N9" i="12"/>
  <c r="K10" i="12"/>
  <c r="J18" i="12"/>
  <c r="O18" i="12"/>
  <c r="K18" i="12"/>
  <c r="P18" i="12"/>
  <c r="Q18" i="12"/>
  <c r="J20" i="12"/>
  <c r="K23" i="12"/>
  <c r="K24" i="12"/>
  <c r="P24" i="12"/>
  <c r="J25" i="12"/>
  <c r="O25" i="12"/>
  <c r="BE6" i="12"/>
  <c r="J27" i="12"/>
  <c r="K27" i="12"/>
  <c r="T7" i="1"/>
  <c r="AI27" i="1"/>
  <c r="AJ15" i="1"/>
  <c r="J12" i="7"/>
  <c r="P8" i="12"/>
  <c r="N15" i="1"/>
  <c r="BD3" i="1"/>
  <c r="J28" i="7"/>
  <c r="O28" i="7"/>
  <c r="K28" i="7"/>
  <c r="P28" i="7"/>
  <c r="J29" i="7"/>
  <c r="O29" i="7"/>
  <c r="BE7" i="7"/>
  <c r="K29" i="7"/>
  <c r="P29" i="7"/>
  <c r="R29" i="7"/>
  <c r="J3" i="12"/>
  <c r="O3" i="12"/>
  <c r="K3" i="12"/>
  <c r="P3" i="12"/>
  <c r="R3" i="12"/>
  <c r="AB21" i="1"/>
  <c r="AB29" i="1"/>
  <c r="Q11" i="1"/>
  <c r="AD29" i="1"/>
  <c r="BO25" i="1"/>
  <c r="AH29" i="1"/>
  <c r="K4" i="1"/>
  <c r="P4" i="1"/>
  <c r="J4" i="1"/>
  <c r="O4" i="1"/>
  <c r="R4" i="1"/>
  <c r="K23" i="1"/>
  <c r="P23" i="1"/>
  <c r="J23" i="1"/>
  <c r="O23" i="1"/>
  <c r="K19" i="1"/>
  <c r="P19" i="1"/>
  <c r="J15" i="1"/>
  <c r="O15" i="1"/>
  <c r="AH11" i="1"/>
  <c r="AD11" i="1"/>
  <c r="J8" i="12"/>
  <c r="O8" i="12"/>
  <c r="R8" i="12"/>
  <c r="BO24" i="1"/>
  <c r="AD25" i="1"/>
  <c r="AH25" i="1"/>
  <c r="BO22" i="1"/>
  <c r="AD17" i="1"/>
  <c r="AH17" i="1"/>
  <c r="AC10" i="1"/>
  <c r="AG10" i="1"/>
  <c r="AD27" i="1"/>
  <c r="AH27" i="1"/>
  <c r="BE7" i="1"/>
  <c r="K28" i="1"/>
  <c r="J28" i="1"/>
  <c r="K24" i="1"/>
  <c r="P24" i="1"/>
  <c r="J24" i="1"/>
  <c r="O24" i="1"/>
  <c r="K20" i="1"/>
  <c r="J20" i="1"/>
  <c r="O20" i="1"/>
  <c r="K16" i="1"/>
  <c r="P16" i="1"/>
  <c r="J16" i="1"/>
  <c r="O16" i="1"/>
  <c r="J12" i="1"/>
  <c r="J8" i="1"/>
  <c r="O8" i="1"/>
  <c r="AF11" i="1"/>
  <c r="AJ11" i="1"/>
  <c r="AH23" i="1"/>
  <c r="AD23" i="1"/>
  <c r="K4" i="7"/>
  <c r="P4" i="7"/>
  <c r="K5" i="7"/>
  <c r="P5" i="7"/>
  <c r="T6" i="7"/>
  <c r="J15" i="7"/>
  <c r="J16" i="7"/>
  <c r="P16" i="7"/>
  <c r="J21" i="7"/>
  <c r="O21" i="7"/>
  <c r="BE5" i="7"/>
  <c r="K22" i="7"/>
  <c r="J10" i="12"/>
  <c r="O10" i="12"/>
  <c r="N10" i="12"/>
  <c r="J11" i="12"/>
  <c r="O11" i="12"/>
  <c r="J13" i="12"/>
  <c r="O13" i="12"/>
  <c r="J17" i="12"/>
  <c r="O17" i="12"/>
  <c r="J23" i="12"/>
  <c r="O23" i="12"/>
  <c r="K7" i="1"/>
  <c r="P7" i="1"/>
  <c r="J7" i="1"/>
  <c r="O7" i="1"/>
  <c r="Q7" i="1"/>
  <c r="K6" i="1"/>
  <c r="P6" i="1"/>
  <c r="J6" i="1"/>
  <c r="O6" i="1"/>
  <c r="N13" i="1"/>
  <c r="T5" i="1"/>
  <c r="J14" i="7"/>
  <c r="O14" i="7"/>
  <c r="Q14" i="7"/>
  <c r="J28" i="12"/>
  <c r="O28" i="12"/>
  <c r="K8" i="1"/>
  <c r="P8" i="1"/>
  <c r="N21" i="1"/>
  <c r="K3" i="1"/>
  <c r="P3" i="1"/>
  <c r="BE5" i="1"/>
  <c r="BD4" i="1"/>
  <c r="J14" i="1"/>
  <c r="O14" i="1"/>
  <c r="K10" i="1"/>
  <c r="P10" i="1"/>
  <c r="T6" i="1"/>
  <c r="AF19" i="1"/>
  <c r="N4" i="7"/>
  <c r="T4" i="7"/>
  <c r="T5" i="7"/>
  <c r="N7" i="7"/>
  <c r="T7" i="7"/>
  <c r="K13" i="7"/>
  <c r="P13" i="7"/>
  <c r="BD3" i="7"/>
  <c r="J4" i="12"/>
  <c r="O4" i="12"/>
  <c r="T4" i="12"/>
  <c r="J5" i="12"/>
  <c r="O5" i="12"/>
  <c r="P5" i="12"/>
  <c r="Q5" i="12"/>
  <c r="K7" i="12"/>
  <c r="P7" i="12"/>
  <c r="R7" i="12"/>
  <c r="N8" i="12"/>
  <c r="T8" i="12"/>
  <c r="J9" i="12"/>
  <c r="O9" i="12"/>
  <c r="BE2" i="12"/>
  <c r="BF2" i="12"/>
  <c r="J14" i="12"/>
  <c r="O14" i="12"/>
  <c r="J15" i="12"/>
  <c r="O15" i="12"/>
  <c r="K15" i="12"/>
  <c r="P15" i="12"/>
  <c r="J19" i="12"/>
  <c r="K20" i="12"/>
  <c r="P20" i="12"/>
  <c r="J21" i="12"/>
  <c r="O21" i="12"/>
  <c r="K21" i="12"/>
  <c r="P21" i="12"/>
  <c r="K26" i="12"/>
  <c r="BO26" i="12"/>
  <c r="BN15" i="12"/>
  <c r="Y13" i="12"/>
  <c r="BN16" i="12"/>
  <c r="Y17" i="12"/>
  <c r="AZ16" i="12"/>
  <c r="AE11" i="12"/>
  <c r="AJ19" i="12"/>
  <c r="AH15" i="12"/>
  <c r="AJ9" i="12"/>
  <c r="AG21" i="12"/>
  <c r="Q9" i="12"/>
  <c r="BO32" i="12"/>
  <c r="AA13" i="12"/>
  <c r="BO37" i="12"/>
  <c r="AJ29" i="12"/>
  <c r="AF29" i="12"/>
  <c r="BO18" i="12"/>
  <c r="P4" i="12"/>
  <c r="AF15" i="12"/>
  <c r="AJ15" i="12"/>
  <c r="J12" i="12"/>
  <c r="O12" i="12"/>
  <c r="AG29" i="12"/>
  <c r="AD10" i="12"/>
  <c r="AH10" i="12"/>
  <c r="BO14" i="12"/>
  <c r="AC9" i="12"/>
  <c r="AZ12" i="12"/>
  <c r="AZ18" i="12"/>
  <c r="AZ13" i="12"/>
  <c r="AG9" i="12"/>
  <c r="AZ8" i="12"/>
  <c r="AD19" i="12"/>
  <c r="AJ23" i="12"/>
  <c r="AE21" i="12"/>
  <c r="BO17" i="12"/>
  <c r="BO33" i="12"/>
  <c r="AJ13" i="12"/>
  <c r="BO21" i="12"/>
  <c r="AH13" i="12"/>
  <c r="BO35" i="12"/>
  <c r="AJ21" i="12"/>
  <c r="AF21" i="12"/>
  <c r="Q7" i="12"/>
  <c r="T9" i="12"/>
  <c r="M9" i="12"/>
  <c r="BN28" i="12"/>
  <c r="AA17" i="12"/>
  <c r="Z9" i="12"/>
  <c r="Z25" i="12"/>
  <c r="AA29" i="12"/>
  <c r="Z21" i="12"/>
  <c r="Z27" i="12"/>
  <c r="N6" i="12"/>
  <c r="J6" i="12"/>
  <c r="O6" i="12"/>
  <c r="Q6" i="12"/>
  <c r="T6" i="12"/>
  <c r="K11" i="12"/>
  <c r="P11" i="12"/>
  <c r="Q11" i="12"/>
  <c r="J16" i="12"/>
  <c r="O16" i="12"/>
  <c r="K16" i="12"/>
  <c r="P16" i="12"/>
  <c r="J22" i="12"/>
  <c r="K22" i="12"/>
  <c r="P22" i="12"/>
  <c r="N24" i="12"/>
  <c r="P10" i="12"/>
  <c r="Z29" i="12"/>
  <c r="Z11" i="12"/>
  <c r="Z17" i="12"/>
  <c r="J26" i="12"/>
  <c r="O26" i="12"/>
  <c r="J24" i="12"/>
  <c r="O24" i="12"/>
  <c r="M9" i="7"/>
  <c r="T9" i="7"/>
  <c r="N9" i="7"/>
  <c r="M13" i="7"/>
  <c r="AD27" i="7"/>
  <c r="AZ36" i="7"/>
  <c r="AZ28" i="7"/>
  <c r="AZ35" i="7"/>
  <c r="AZ30" i="7"/>
  <c r="AZ26" i="7"/>
  <c r="AZ29" i="7"/>
  <c r="BO23" i="7"/>
  <c r="AH21" i="7"/>
  <c r="AI23" i="7"/>
  <c r="AE23" i="7"/>
  <c r="N16" i="7"/>
  <c r="BO16" i="7"/>
  <c r="AC17" i="7"/>
  <c r="BA10" i="7"/>
  <c r="BA16" i="7"/>
  <c r="O25" i="7"/>
  <c r="BE6" i="7"/>
  <c r="BO29" i="7"/>
  <c r="AI21" i="7"/>
  <c r="AI11" i="7"/>
  <c r="AE11" i="7"/>
  <c r="AZ20" i="7"/>
  <c r="AD10" i="7"/>
  <c r="AD19" i="7"/>
  <c r="AC11" i="7"/>
  <c r="T3" i="7"/>
  <c r="AI19" i="7"/>
  <c r="AE19" i="7"/>
  <c r="BO31" i="7"/>
  <c r="AI29" i="7"/>
  <c r="M25" i="7"/>
  <c r="M29" i="7"/>
  <c r="BO37" i="7"/>
  <c r="AJ29" i="7"/>
  <c r="AF29" i="7"/>
  <c r="AI27" i="7"/>
  <c r="AE27" i="7"/>
  <c r="AZ31" i="7"/>
  <c r="AD11" i="7"/>
  <c r="AE21" i="7"/>
  <c r="AE13" i="7"/>
  <c r="AI10" i="7"/>
  <c r="AE10" i="7"/>
  <c r="AJ23" i="7"/>
  <c r="AF23" i="7"/>
  <c r="AI15" i="7"/>
  <c r="AE15" i="7"/>
  <c r="BO36" i="7"/>
  <c r="AJ25" i="7"/>
  <c r="AG10" i="7"/>
  <c r="AC10" i="7"/>
  <c r="AG19" i="7"/>
  <c r="AC19" i="7"/>
  <c r="AG27" i="7"/>
  <c r="AC27" i="7"/>
  <c r="J3" i="7"/>
  <c r="O3" i="7"/>
  <c r="AG9" i="7"/>
  <c r="AG13" i="7"/>
  <c r="AC29" i="7"/>
  <c r="AZ13" i="7"/>
  <c r="AZ19" i="7"/>
  <c r="BO14" i="7"/>
  <c r="BO28" i="7"/>
  <c r="BO20" i="7"/>
  <c r="BO30" i="7"/>
  <c r="BO22" i="7"/>
  <c r="P25" i="7"/>
  <c r="BD6" i="7"/>
  <c r="N3" i="7"/>
  <c r="N17" i="7"/>
  <c r="J19" i="7"/>
  <c r="O19" i="7"/>
  <c r="J20" i="7"/>
  <c r="O20" i="7"/>
  <c r="K20" i="7"/>
  <c r="K21" i="7"/>
  <c r="P21" i="7"/>
  <c r="BD5" i="7"/>
  <c r="N25" i="7"/>
  <c r="J27" i="7"/>
  <c r="P24" i="7"/>
  <c r="P17" i="7"/>
  <c r="J17" i="7"/>
  <c r="O17" i="7"/>
  <c r="Q17" i="7"/>
  <c r="J8" i="7"/>
  <c r="O8" i="7"/>
  <c r="R8" i="7"/>
  <c r="J9" i="7"/>
  <c r="O9" i="7"/>
  <c r="P9" i="7"/>
  <c r="BD2" i="7"/>
  <c r="J10" i="7"/>
  <c r="O10" i="7"/>
  <c r="P10" i="7"/>
  <c r="BE4" i="7"/>
  <c r="J26" i="7"/>
  <c r="O26" i="7"/>
  <c r="Q26" i="7"/>
  <c r="BA34" i="7"/>
  <c r="BA28" i="7"/>
  <c r="N5" i="7"/>
  <c r="J5" i="7"/>
  <c r="O5" i="7"/>
  <c r="K7" i="7"/>
  <c r="P7" i="7"/>
  <c r="T8" i="7"/>
  <c r="R3" i="1"/>
  <c r="Q3" i="1"/>
  <c r="BE3" i="1"/>
  <c r="BE2" i="1"/>
  <c r="BE6" i="1"/>
  <c r="BE4" i="1"/>
  <c r="AC11" i="1"/>
  <c r="AG11" i="1"/>
  <c r="AF27" i="1"/>
  <c r="AJ27" i="1"/>
  <c r="K18" i="1"/>
  <c r="P18" i="1"/>
  <c r="J18" i="1"/>
  <c r="O18" i="1"/>
  <c r="N17" i="1"/>
  <c r="K14" i="1"/>
  <c r="P14" i="1"/>
  <c r="J10" i="1"/>
  <c r="O10" i="1"/>
  <c r="Q10" i="1"/>
  <c r="AE19" i="1"/>
  <c r="AI19" i="1"/>
  <c r="AE23" i="1"/>
  <c r="AI23" i="1"/>
  <c r="AE11" i="1"/>
  <c r="AI11" i="1"/>
  <c r="AD10" i="1"/>
  <c r="AH10" i="1"/>
  <c r="BD7" i="1"/>
  <c r="BD5" i="1"/>
  <c r="N12" i="1"/>
  <c r="O26" i="1"/>
  <c r="R26" i="1"/>
  <c r="O22" i="1"/>
  <c r="Q22" i="1"/>
  <c r="AF23" i="1"/>
  <c r="Q8" i="7"/>
  <c r="N29" i="1"/>
  <c r="AH19" i="1"/>
  <c r="AC23" i="1"/>
  <c r="AG23" i="1"/>
  <c r="AF10" i="1"/>
  <c r="AJ10" i="1"/>
  <c r="BE2" i="7"/>
  <c r="Q9" i="7"/>
  <c r="R10" i="7"/>
  <c r="BO36" i="1"/>
  <c r="AJ25" i="1"/>
  <c r="AF25" i="1"/>
  <c r="N28" i="1"/>
  <c r="N24" i="1"/>
  <c r="P20" i="1"/>
  <c r="Q20" i="1"/>
  <c r="N16" i="1"/>
  <c r="AC27" i="1"/>
  <c r="Q8" i="12"/>
  <c r="T10" i="7"/>
  <c r="J7" i="7"/>
  <c r="O7" i="7"/>
  <c r="AA17" i="1"/>
  <c r="AA21" i="1"/>
  <c r="AA9" i="1"/>
  <c r="AA10" i="1"/>
  <c r="AA25" i="1"/>
  <c r="AA15" i="1"/>
  <c r="N27" i="1"/>
  <c r="N23" i="1"/>
  <c r="N19" i="1"/>
  <c r="Q3" i="12"/>
  <c r="J4" i="7"/>
  <c r="O4" i="7"/>
  <c r="N14" i="1"/>
  <c r="AJ13" i="1"/>
  <c r="R9" i="12"/>
  <c r="N19" i="7"/>
  <c r="N17" i="12"/>
  <c r="Y17" i="1"/>
  <c r="Y21" i="1"/>
  <c r="Y9" i="1"/>
  <c r="Y25" i="1"/>
  <c r="J18" i="7"/>
  <c r="O18" i="7"/>
  <c r="P20" i="7"/>
  <c r="P26" i="12"/>
  <c r="Y29" i="1"/>
  <c r="AA29" i="1"/>
  <c r="O15" i="7"/>
  <c r="P23" i="7"/>
  <c r="Y13" i="1"/>
  <c r="AA13" i="1"/>
  <c r="K3" i="7"/>
  <c r="P3" i="7"/>
  <c r="R3" i="7"/>
  <c r="J11" i="7"/>
  <c r="O11" i="7"/>
  <c r="Q11" i="7"/>
  <c r="N12" i="7"/>
  <c r="J13" i="7"/>
  <c r="O13" i="7"/>
  <c r="BE3" i="7"/>
  <c r="O16" i="7"/>
  <c r="O24" i="7"/>
  <c r="R24" i="7"/>
  <c r="O20" i="12"/>
  <c r="O22" i="12"/>
  <c r="P28" i="12"/>
  <c r="R28" i="12"/>
  <c r="P18" i="7"/>
  <c r="O22" i="7"/>
  <c r="P14" i="12"/>
  <c r="N27" i="12"/>
  <c r="O27" i="7"/>
  <c r="N23" i="12"/>
  <c r="O29" i="12"/>
  <c r="O19" i="1"/>
  <c r="N15" i="7"/>
  <c r="P19" i="7"/>
  <c r="O12" i="1"/>
  <c r="O28" i="1"/>
  <c r="O27" i="1"/>
  <c r="BE5" i="12"/>
  <c r="P15" i="7"/>
  <c r="O27" i="12"/>
  <c r="N24" i="7"/>
  <c r="N22" i="12"/>
  <c r="P27" i="1"/>
  <c r="P27" i="12"/>
  <c r="N21" i="12"/>
  <c r="N23" i="7"/>
  <c r="BE7" i="12"/>
  <c r="P19" i="12"/>
  <c r="N19" i="12"/>
  <c r="N25" i="12"/>
  <c r="P25" i="12"/>
  <c r="N22" i="7"/>
  <c r="P22" i="7"/>
  <c r="R22" i="7"/>
  <c r="P12" i="12"/>
  <c r="N12" i="12"/>
  <c r="M17" i="12"/>
  <c r="P29" i="12"/>
  <c r="Q29" i="12"/>
  <c r="N18" i="7"/>
  <c r="P17" i="12"/>
  <c r="O12" i="7"/>
  <c r="P12" i="7"/>
  <c r="P27" i="7"/>
  <c r="N27" i="7"/>
  <c r="O19" i="12"/>
  <c r="P23" i="12"/>
  <c r="N14" i="7"/>
  <c r="P12" i="1"/>
  <c r="P28" i="1"/>
  <c r="M29" i="12"/>
  <c r="N29" i="12"/>
  <c r="N14" i="12"/>
  <c r="M25" i="12"/>
  <c r="N20" i="12"/>
  <c r="M21" i="12"/>
  <c r="Q23" i="1"/>
  <c r="BF3" i="1"/>
  <c r="R20" i="1"/>
  <c r="Q25" i="7"/>
  <c r="BG2" i="12"/>
  <c r="Q13" i="12"/>
  <c r="BG3" i="1"/>
  <c r="R13" i="1"/>
  <c r="BD7" i="7"/>
  <c r="BG7" i="7"/>
  <c r="R22" i="1"/>
  <c r="Q29" i="7"/>
  <c r="Q30" i="7"/>
  <c r="BF2" i="7"/>
  <c r="R28" i="7"/>
  <c r="R21" i="1"/>
  <c r="Q16" i="1"/>
  <c r="Q24" i="1"/>
  <c r="BG7" i="1"/>
  <c r="AC27" i="12"/>
  <c r="AG27" i="12"/>
  <c r="AI23" i="12"/>
  <c r="AE23" i="12"/>
  <c r="AG23" i="12"/>
  <c r="AC23" i="12"/>
  <c r="Q16" i="12"/>
  <c r="AZ19" i="12"/>
  <c r="BO19" i="12"/>
  <c r="AG15" i="12"/>
  <c r="AC15" i="12"/>
  <c r="AI21" i="12"/>
  <c r="BO29" i="12"/>
  <c r="BO30" i="12"/>
  <c r="AI25" i="12"/>
  <c r="AE25" i="12"/>
  <c r="BB11" i="12"/>
  <c r="BB8" i="12"/>
  <c r="BB10" i="12"/>
  <c r="BB9" i="12"/>
  <c r="BA9" i="12"/>
  <c r="BC9" i="12"/>
  <c r="BB12" i="12"/>
  <c r="BB13" i="12"/>
  <c r="AJ10" i="12"/>
  <c r="AF10" i="12"/>
  <c r="Q26" i="12"/>
  <c r="AE9" i="12"/>
  <c r="AE27" i="12"/>
  <c r="AI27" i="12"/>
  <c r="AI10" i="12"/>
  <c r="AE10" i="12"/>
  <c r="Q6" i="7"/>
  <c r="BB12" i="7"/>
  <c r="BB36" i="7"/>
  <c r="AD13" i="7"/>
  <c r="AH13" i="7"/>
  <c r="BO21" i="7"/>
  <c r="AZ21" i="7"/>
  <c r="AH17" i="7"/>
  <c r="AD17" i="7"/>
  <c r="BB13" i="7"/>
  <c r="BB37" i="7"/>
  <c r="AI13" i="7"/>
  <c r="AH23" i="7"/>
  <c r="AD23" i="7"/>
  <c r="AF9" i="7"/>
  <c r="BA8" i="7"/>
  <c r="BA32" i="7"/>
  <c r="AJ9" i="7"/>
  <c r="BO32" i="7"/>
  <c r="BB9" i="7"/>
  <c r="BA9" i="7"/>
  <c r="BC9" i="7"/>
  <c r="BC27" i="7"/>
  <c r="BB11" i="7"/>
  <c r="BB8" i="7"/>
  <c r="BC8" i="7"/>
  <c r="BC14" i="7"/>
  <c r="BB10" i="7"/>
  <c r="BO27" i="7"/>
  <c r="AZ24" i="7"/>
  <c r="AZ32" i="7"/>
  <c r="Q28" i="7"/>
  <c r="AD29" i="7"/>
  <c r="AZ25" i="7"/>
  <c r="AH29" i="7"/>
  <c r="BO25" i="7"/>
  <c r="AH9" i="7"/>
  <c r="AD9" i="7"/>
  <c r="AZ34" i="7"/>
  <c r="BB29" i="7"/>
  <c r="AJ13" i="7"/>
  <c r="AF13" i="7"/>
  <c r="BA33" i="7"/>
  <c r="AZ33" i="7"/>
  <c r="Q5" i="7"/>
  <c r="BA11" i="7"/>
  <c r="BA29" i="7"/>
  <c r="R21" i="7"/>
  <c r="Q20" i="7"/>
  <c r="AZ14" i="7"/>
  <c r="BA22" i="7"/>
  <c r="AZ22" i="7"/>
  <c r="AF21" i="7"/>
  <c r="BO35" i="7"/>
  <c r="AJ21" i="7"/>
  <c r="BB35" i="7"/>
  <c r="AD21" i="7"/>
  <c r="BA23" i="7"/>
  <c r="AZ23" i="7"/>
  <c r="BA15" i="7"/>
  <c r="BA13" i="7"/>
  <c r="BA37" i="7"/>
  <c r="BA17" i="7"/>
  <c r="BA12" i="7"/>
  <c r="R19" i="1"/>
  <c r="BD4" i="7"/>
  <c r="BG4" i="7"/>
  <c r="R18" i="12"/>
  <c r="Q15" i="7"/>
  <c r="R14" i="12"/>
  <c r="Q8" i="1"/>
  <c r="Q4" i="1"/>
  <c r="R27" i="12"/>
  <c r="BF7" i="1"/>
  <c r="Q18" i="1"/>
  <c r="BF5" i="1"/>
  <c r="R24" i="12"/>
  <c r="R4" i="12"/>
  <c r="Q21" i="12"/>
  <c r="R15" i="12"/>
  <c r="Q6" i="1"/>
  <c r="Q23" i="12"/>
  <c r="R5" i="7"/>
  <c r="AJ29" i="1"/>
  <c r="BO37" i="1"/>
  <c r="AF29" i="1"/>
  <c r="R10" i="12"/>
  <c r="Q15" i="1"/>
  <c r="BO35" i="1"/>
  <c r="AJ21" i="1"/>
  <c r="AF21" i="1"/>
  <c r="R13" i="7"/>
  <c r="Q16" i="7"/>
  <c r="BG5" i="7"/>
  <c r="R17" i="7"/>
  <c r="Q13" i="7"/>
  <c r="R20" i="7"/>
  <c r="Q24" i="12"/>
  <c r="Q19" i="7"/>
  <c r="R16" i="1"/>
  <c r="R22" i="12"/>
  <c r="Q15" i="12"/>
  <c r="R6" i="1"/>
  <c r="R24" i="1"/>
  <c r="BE3" i="12"/>
  <c r="BG3" i="12"/>
  <c r="R12" i="7"/>
  <c r="Q26" i="1"/>
  <c r="BG5" i="1"/>
  <c r="Q19" i="1"/>
  <c r="R23" i="7"/>
  <c r="R9" i="7"/>
  <c r="R10" i="1"/>
  <c r="Q10" i="12"/>
  <c r="R16" i="12"/>
  <c r="R5" i="12"/>
  <c r="R8" i="1"/>
  <c r="R7" i="1"/>
  <c r="R23" i="1"/>
  <c r="AH11" i="12"/>
  <c r="AD11" i="12"/>
  <c r="AH9" i="12"/>
  <c r="BO20" i="12"/>
  <c r="AD9" i="12"/>
  <c r="AZ29" i="12"/>
  <c r="AZ27" i="12"/>
  <c r="AZ32" i="12"/>
  <c r="AZ14" i="12"/>
  <c r="AZ37" i="12"/>
  <c r="AZ25" i="12"/>
  <c r="AZ23" i="12"/>
  <c r="AZ31" i="12"/>
  <c r="AZ26" i="12"/>
  <c r="AZ33" i="12"/>
  <c r="AZ34" i="12"/>
  <c r="AZ28" i="12"/>
  <c r="AZ21" i="12"/>
  <c r="AZ35" i="12"/>
  <c r="AZ36" i="12"/>
  <c r="AZ22" i="12"/>
  <c r="AZ20" i="12"/>
  <c r="AZ24" i="12"/>
  <c r="AZ30" i="12"/>
  <c r="BA10" i="12"/>
  <c r="BA34" i="12"/>
  <c r="BA11" i="12"/>
  <c r="BA17" i="12"/>
  <c r="BA12" i="12"/>
  <c r="BA8" i="12"/>
  <c r="BA32" i="12"/>
  <c r="BA13" i="12"/>
  <c r="BA37" i="12"/>
  <c r="Q22" i="12"/>
  <c r="R13" i="12"/>
  <c r="BO31" i="12"/>
  <c r="AI29" i="12"/>
  <c r="BB31" i="12"/>
  <c r="AE29" i="12"/>
  <c r="BA31" i="12"/>
  <c r="BO28" i="12"/>
  <c r="AI17" i="12"/>
  <c r="AE17" i="12"/>
  <c r="BA28" i="12"/>
  <c r="AE13" i="12"/>
  <c r="BA27" i="12"/>
  <c r="BO27" i="12"/>
  <c r="AI13" i="12"/>
  <c r="BB32" i="12"/>
  <c r="AC17" i="12"/>
  <c r="BA16" i="12"/>
  <c r="AG17" i="12"/>
  <c r="BB16" i="12"/>
  <c r="BO16" i="12"/>
  <c r="AD27" i="12"/>
  <c r="AH27" i="12"/>
  <c r="BB19" i="12"/>
  <c r="AC13" i="12"/>
  <c r="BA15" i="12"/>
  <c r="BO15" i="12"/>
  <c r="AG13" i="12"/>
  <c r="BB15" i="12"/>
  <c r="AZ15" i="12"/>
  <c r="R11" i="12"/>
  <c r="AH29" i="12"/>
  <c r="BB25" i="12"/>
  <c r="BO25" i="12"/>
  <c r="AD29" i="12"/>
  <c r="AH21" i="12"/>
  <c r="BB23" i="12"/>
  <c r="AD21" i="12"/>
  <c r="BO23" i="12"/>
  <c r="BB14" i="12"/>
  <c r="BB17" i="12"/>
  <c r="BD5" i="12"/>
  <c r="BF5" i="12"/>
  <c r="Q19" i="12"/>
  <c r="R21" i="12"/>
  <c r="Q4" i="12"/>
  <c r="BO22" i="12"/>
  <c r="AH17" i="12"/>
  <c r="BB22" i="12"/>
  <c r="AD17" i="12"/>
  <c r="BA22" i="12"/>
  <c r="AH25" i="12"/>
  <c r="BB24" i="12"/>
  <c r="BO24" i="12"/>
  <c r="AD25" i="12"/>
  <c r="BA24" i="12"/>
  <c r="BB35" i="12"/>
  <c r="BB37" i="12"/>
  <c r="R6" i="12"/>
  <c r="BC20" i="7"/>
  <c r="BB17" i="7"/>
  <c r="BG2" i="7"/>
  <c r="BC21" i="7"/>
  <c r="BB22" i="7"/>
  <c r="BF5" i="7"/>
  <c r="BF7" i="7"/>
  <c r="R16" i="7"/>
  <c r="R27" i="7"/>
  <c r="Q24" i="7"/>
  <c r="Q10" i="7"/>
  <c r="BB27" i="7"/>
  <c r="R25" i="7"/>
  <c r="Q21" i="7"/>
  <c r="BB23" i="7"/>
  <c r="BO15" i="1"/>
  <c r="AG13" i="1"/>
  <c r="AC13" i="1"/>
  <c r="R26" i="7"/>
  <c r="BO16" i="1"/>
  <c r="AC17" i="1"/>
  <c r="AG17" i="1"/>
  <c r="R4" i="7"/>
  <c r="Q4" i="7"/>
  <c r="BO26" i="1"/>
  <c r="AE9" i="1"/>
  <c r="AI9" i="1"/>
  <c r="R7" i="7"/>
  <c r="Q7" i="7"/>
  <c r="Q23" i="7"/>
  <c r="R12" i="12"/>
  <c r="R26" i="12"/>
  <c r="Q27" i="1"/>
  <c r="BO18" i="1"/>
  <c r="AC25" i="1"/>
  <c r="AG25" i="1"/>
  <c r="AI15" i="1"/>
  <c r="AE15" i="1"/>
  <c r="BO29" i="1"/>
  <c r="AE21" i="1"/>
  <c r="AI21" i="1"/>
  <c r="Q28" i="12"/>
  <c r="R11" i="7"/>
  <c r="R5" i="1"/>
  <c r="R18" i="1"/>
  <c r="R17" i="1"/>
  <c r="BO31" i="1"/>
  <c r="AI29" i="1"/>
  <c r="AE29" i="1"/>
  <c r="AZ13" i="1"/>
  <c r="AZ19" i="1"/>
  <c r="AG9" i="1"/>
  <c r="BO14" i="1"/>
  <c r="AZ9" i="1"/>
  <c r="AZ15" i="1"/>
  <c r="AZ10" i="1"/>
  <c r="AZ16" i="1"/>
  <c r="AZ12" i="1"/>
  <c r="AZ18" i="1"/>
  <c r="AZ8" i="1"/>
  <c r="AC9" i="1"/>
  <c r="AZ11" i="1"/>
  <c r="AZ17" i="1"/>
  <c r="BO30" i="1"/>
  <c r="AE25" i="1"/>
  <c r="AI25" i="1"/>
  <c r="BO28" i="1"/>
  <c r="AI17" i="1"/>
  <c r="AE17" i="1"/>
  <c r="BD6" i="1"/>
  <c r="R25" i="1"/>
  <c r="Q14" i="12"/>
  <c r="R9" i="1"/>
  <c r="BD2" i="1"/>
  <c r="R28" i="1"/>
  <c r="BF4" i="1"/>
  <c r="R29" i="1"/>
  <c r="BO27" i="1"/>
  <c r="AE13" i="1"/>
  <c r="AI13" i="1"/>
  <c r="BO19" i="1"/>
  <c r="AC29" i="1"/>
  <c r="AG29" i="1"/>
  <c r="AC21" i="1"/>
  <c r="BO17" i="1"/>
  <c r="AG21" i="1"/>
  <c r="AE10" i="1"/>
  <c r="AI10" i="1"/>
  <c r="Q3" i="7"/>
  <c r="R15" i="1"/>
  <c r="Q22" i="7"/>
  <c r="R19" i="7"/>
  <c r="R15" i="7"/>
  <c r="R27" i="1"/>
  <c r="Q18" i="7"/>
  <c r="R18" i="7"/>
  <c r="Q27" i="12"/>
  <c r="R12" i="1"/>
  <c r="BG4" i="1"/>
  <c r="BE4" i="12"/>
  <c r="Q17" i="12"/>
  <c r="BF4" i="7"/>
  <c r="R17" i="12"/>
  <c r="BD4" i="12"/>
  <c r="Q27" i="7"/>
  <c r="R20" i="12"/>
  <c r="Q20" i="12"/>
  <c r="R19" i="12"/>
  <c r="BG6" i="7"/>
  <c r="BF6" i="7"/>
  <c r="BG3" i="7"/>
  <c r="BF3" i="7"/>
  <c r="R25" i="12"/>
  <c r="Q25" i="12"/>
  <c r="Q30" i="12"/>
  <c r="BD6" i="12"/>
  <c r="BF3" i="12"/>
  <c r="Q28" i="1"/>
  <c r="R14" i="1"/>
  <c r="Q14" i="1"/>
  <c r="R23" i="12"/>
  <c r="Q12" i="7"/>
  <c r="Q12" i="12"/>
  <c r="R29" i="12"/>
  <c r="BD7" i="12"/>
  <c r="R14" i="7"/>
  <c r="Q12" i="1"/>
  <c r="BA23" i="12"/>
  <c r="BA29" i="12"/>
  <c r="BA26" i="12"/>
  <c r="BA35" i="12"/>
  <c r="BC33" i="7"/>
  <c r="BB15" i="7"/>
  <c r="BC13" i="7"/>
  <c r="BB19" i="7"/>
  <c r="BB21" i="7"/>
  <c r="BC15" i="7"/>
  <c r="BB14" i="7"/>
  <c r="BA36" i="7"/>
  <c r="BA30" i="7"/>
  <c r="BA18" i="7"/>
  <c r="BA14" i="7"/>
  <c r="BA26" i="7"/>
  <c r="BB31" i="7"/>
  <c r="BA20" i="7"/>
  <c r="BB30" i="7"/>
  <c r="BB18" i="7"/>
  <c r="BC12" i="7"/>
  <c r="BA21" i="7"/>
  <c r="BB24" i="7"/>
  <c r="BC10" i="7"/>
  <c r="BB34" i="7"/>
  <c r="BB16" i="7"/>
  <c r="BB28" i="7"/>
  <c r="BB33" i="7"/>
  <c r="BC32" i="7"/>
  <c r="BA19" i="7"/>
  <c r="BA31" i="7"/>
  <c r="BB25" i="7"/>
  <c r="BB20" i="7"/>
  <c r="BB26" i="7"/>
  <c r="BC26" i="7"/>
  <c r="BA35" i="7"/>
  <c r="BA27" i="7"/>
  <c r="BA25" i="7"/>
  <c r="BC11" i="7"/>
  <c r="BB32" i="7"/>
  <c r="BA24" i="7"/>
  <c r="BB10" i="1"/>
  <c r="BB12" i="1"/>
  <c r="BB9" i="1"/>
  <c r="BB13" i="1"/>
  <c r="BB8" i="1"/>
  <c r="BB11" i="1"/>
  <c r="Q30" i="1"/>
  <c r="BC33" i="12"/>
  <c r="BC21" i="12"/>
  <c r="BC27" i="12"/>
  <c r="BC15" i="12"/>
  <c r="BC10" i="12"/>
  <c r="BB34" i="12"/>
  <c r="BA19" i="12"/>
  <c r="BG5" i="12"/>
  <c r="BA21" i="12"/>
  <c r="BA33" i="12"/>
  <c r="BC13" i="12"/>
  <c r="BB20" i="12"/>
  <c r="BB28" i="12"/>
  <c r="BC12" i="12"/>
  <c r="BB36" i="12"/>
  <c r="BB18" i="12"/>
  <c r="BB30" i="12"/>
  <c r="BA30" i="12"/>
  <c r="BA18" i="12"/>
  <c r="BA36" i="12"/>
  <c r="BA14" i="12"/>
  <c r="BB33" i="12"/>
  <c r="BA25" i="12"/>
  <c r="BB27" i="12"/>
  <c r="BB21" i="12"/>
  <c r="BC8" i="12"/>
  <c r="BB26" i="12"/>
  <c r="BC11" i="12"/>
  <c r="BB29" i="12"/>
  <c r="BA20" i="12"/>
  <c r="BB16" i="1"/>
  <c r="BA9" i="1"/>
  <c r="BA15" i="1"/>
  <c r="BB17" i="1"/>
  <c r="BG2" i="1"/>
  <c r="BF2" i="1"/>
  <c r="BG6" i="1"/>
  <c r="BF6" i="1"/>
  <c r="BA13" i="1"/>
  <c r="BA19" i="1"/>
  <c r="BA12" i="1"/>
  <c r="BA30" i="1"/>
  <c r="BA11" i="1"/>
  <c r="BA17" i="1"/>
  <c r="BA10" i="1"/>
  <c r="BA8" i="1"/>
  <c r="BB14" i="1"/>
  <c r="BA28" i="1"/>
  <c r="AZ29" i="1"/>
  <c r="AZ26" i="1"/>
  <c r="AZ24" i="1"/>
  <c r="AZ37" i="1"/>
  <c r="AZ33" i="1"/>
  <c r="AZ31" i="1"/>
  <c r="AZ34" i="1"/>
  <c r="AZ32" i="1"/>
  <c r="AZ25" i="1"/>
  <c r="AZ20" i="1"/>
  <c r="AZ36" i="1"/>
  <c r="AZ22" i="1"/>
  <c r="AZ28" i="1"/>
  <c r="AZ14" i="1"/>
  <c r="AZ23" i="1"/>
  <c r="AZ21" i="1"/>
  <c r="AZ30" i="1"/>
  <c r="AZ35" i="1"/>
  <c r="AZ27" i="1"/>
  <c r="BG7" i="12"/>
  <c r="BF7" i="12"/>
  <c r="BF4" i="12"/>
  <c r="BG4" i="12"/>
  <c r="BF6" i="12"/>
  <c r="BG6" i="12"/>
  <c r="BC31" i="7"/>
  <c r="BC37" i="7"/>
  <c r="BC19" i="7"/>
  <c r="BC30" i="7"/>
  <c r="BC18" i="7"/>
  <c r="BC36" i="7"/>
  <c r="BC24" i="7"/>
  <c r="BC29" i="7"/>
  <c r="BC17" i="7"/>
  <c r="BC35" i="7"/>
  <c r="BC23" i="7"/>
  <c r="BC25" i="7"/>
  <c r="BC16" i="7"/>
  <c r="BC34" i="7"/>
  <c r="BC28" i="7"/>
  <c r="BC22" i="7"/>
  <c r="BC9" i="1"/>
  <c r="BC15" i="1"/>
  <c r="BC10" i="1"/>
  <c r="BC28" i="1"/>
  <c r="BC21" i="1"/>
  <c r="BC33" i="1"/>
  <c r="BC11" i="1"/>
  <c r="BC12" i="1"/>
  <c r="BC27" i="1"/>
  <c r="BA18" i="1"/>
  <c r="BB18" i="1"/>
  <c r="BC8" i="1"/>
  <c r="BC34" i="1"/>
  <c r="BC22" i="1"/>
  <c r="BC16" i="1"/>
  <c r="BB29" i="1"/>
  <c r="BA31" i="1"/>
  <c r="BB26" i="1"/>
  <c r="BC13" i="1"/>
  <c r="BC29" i="12"/>
  <c r="BC17" i="12"/>
  <c r="BC35" i="12"/>
  <c r="BC23" i="12"/>
  <c r="BC37" i="12"/>
  <c r="BC25" i="12"/>
  <c r="BC31" i="12"/>
  <c r="BC19" i="12"/>
  <c r="BC32" i="12"/>
  <c r="BC20" i="12"/>
  <c r="BC26" i="12"/>
  <c r="BC14" i="12"/>
  <c r="BC36" i="12"/>
  <c r="BC24" i="12"/>
  <c r="BC30" i="12"/>
  <c r="BC18" i="12"/>
  <c r="BC28" i="12"/>
  <c r="BC16" i="12"/>
  <c r="BC22" i="12"/>
  <c r="BC34" i="12"/>
  <c r="BB25" i="1"/>
  <c r="BB37" i="1"/>
  <c r="BA34" i="1"/>
  <c r="BA22" i="1"/>
  <c r="BB21" i="1"/>
  <c r="BB33" i="1"/>
  <c r="BA32" i="1"/>
  <c r="BA20" i="1"/>
  <c r="BA37" i="1"/>
  <c r="BA25" i="1"/>
  <c r="BB15" i="1"/>
  <c r="BB35" i="1"/>
  <c r="BB23" i="1"/>
  <c r="BB22" i="1"/>
  <c r="BB34" i="1"/>
  <c r="BA35" i="1"/>
  <c r="BA23" i="1"/>
  <c r="BA14" i="1"/>
  <c r="BA29" i="1"/>
  <c r="BA26" i="1"/>
  <c r="BB19" i="1"/>
  <c r="BB24" i="1"/>
  <c r="BB36" i="1"/>
  <c r="BB31" i="1"/>
  <c r="BA16" i="1"/>
  <c r="BB20" i="1"/>
  <c r="BB32" i="1"/>
  <c r="BA21" i="1"/>
  <c r="BA33" i="1"/>
  <c r="BA24" i="1"/>
  <c r="BA36" i="1"/>
  <c r="BB30" i="1"/>
  <c r="BB27" i="1"/>
  <c r="BA27" i="1"/>
  <c r="BB28" i="1"/>
  <c r="BC37" i="1"/>
  <c r="BC25" i="1"/>
  <c r="BC19" i="1"/>
  <c r="BC31" i="1"/>
  <c r="BC35" i="1"/>
  <c r="BC23" i="1"/>
  <c r="BC17" i="1"/>
  <c r="BC29" i="1"/>
  <c r="BC32" i="1"/>
  <c r="BC20" i="1"/>
  <c r="BC14" i="1"/>
  <c r="BC26" i="1"/>
  <c r="BC24" i="1"/>
  <c r="BC36" i="1"/>
  <c r="BC30" i="1"/>
  <c r="BC18" i="1"/>
</calcChain>
</file>

<file path=xl/comments1.xml><?xml version="1.0" encoding="utf-8"?>
<comments xmlns="http://schemas.openxmlformats.org/spreadsheetml/2006/main">
  <authors>
    <author>J. Bolt</author>
  </authors>
  <commentList>
    <comment ref="B3" authorId="0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 1870 - 1923 from Bertola and Ocampo (2012) </t>
        </r>
      </text>
    </comment>
  </commentList>
</comments>
</file>

<file path=xl/sharedStrings.xml><?xml version="1.0" encoding="utf-8"?>
<sst xmlns="http://schemas.openxmlformats.org/spreadsheetml/2006/main" count="1032" uniqueCount="194">
  <si>
    <t>Under 15</t>
  </si>
  <si>
    <t>No Education</t>
  </si>
  <si>
    <t>Incomplete Primary</t>
  </si>
  <si>
    <t>Primary</t>
  </si>
  <si>
    <t>Lower Secondary</t>
  </si>
  <si>
    <t>Upper Secondary</t>
  </si>
  <si>
    <t>Post Secondary</t>
  </si>
  <si>
    <t>C</t>
  </si>
  <si>
    <t>L</t>
  </si>
  <si>
    <t>H</t>
  </si>
  <si>
    <t>N</t>
  </si>
  <si>
    <t>h</t>
  </si>
  <si>
    <t>Medium variant</t>
  </si>
  <si>
    <t>Colombia</t>
  </si>
  <si>
    <t>Index</t>
  </si>
  <si>
    <t>Variant</t>
  </si>
  <si>
    <t>Major area, region, country or area *</t>
  </si>
  <si>
    <t>Notes</t>
  </si>
  <si>
    <t>Country code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</si>
  <si>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</si>
  <si>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</si>
  <si>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</si>
  <si>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</si>
  <si>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</si>
  <si>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</si>
  <si>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</si>
  <si>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</si>
  <si>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</si>
  <si>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</si>
  <si>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</si>
  <si>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</si>
  <si>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</si>
  <si>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</si>
  <si>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</si>
  <si>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</si>
  <si>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</si>
  <si>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</si>
  <si>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</si>
  <si>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</si>
  <si>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</si>
  <si>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</si>
  <si>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</si>
  <si>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</si>
  <si>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</si>
  <si>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</si>
  <si>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</si>
  <si>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</si>
  <si>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</si>
  <si>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</si>
  <si>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</si>
  <si>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</si>
  <si>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</si>
  <si>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</si>
  <si>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</si>
  <si>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</si>
  <si>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</si>
  <si>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</si>
  <si>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</si>
  <si>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</si>
  <si>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</si>
  <si>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</si>
  <si>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</si>
  <si>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</si>
  <si>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</si>
  <si>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</si>
  <si>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</si>
  <si>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</si>
  <si>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</si>
  <si>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</si>
  <si>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</si>
  <si>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</si>
  <si>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</si>
  <si>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</si>
  <si>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</si>
  <si>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</si>
  <si>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</si>
  <si>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</si>
  <si>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</si>
  <si>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</si>
  <si>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</si>
  <si>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</si>
  <si>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</si>
  <si>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</si>
  <si>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</si>
  <si>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</si>
  <si>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</si>
  <si>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</si>
  <si>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</si>
  <si>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</si>
  <si>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</si>
  <si>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</si>
  <si>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</si>
  <si>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</si>
  <si>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</si>
  <si>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</si>
  <si>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</si>
  <si>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</si>
  <si>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</si>
  <si>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</si>
  <si>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</si>
  <si>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</si>
  <si>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</si>
  <si>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</si>
  <si>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</si>
  <si>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</si>
  <si>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Source: Wittgenstein Centre for Demography and Global Human Capital (2015). Wittgenstein Centre Data Explorer Version 1.2.</t>
  </si>
  <si>
    <t>Note: Your selection includes at least one country with limited base year data on educational attainment. Please consult the FAQ for more information</t>
  </si>
  <si>
    <t>Educational Attainment Distribution by Broad Age</t>
  </si>
  <si>
    <t xml:space="preserve">De facto population by level of educational attainment in a country or region, classified by sex and by broad age groups. Available in all scenarios and at all geographical scales. Figures are expressed as a percentage. </t>
  </si>
  <si>
    <t>Medium (SSP2)</t>
  </si>
  <si>
    <t xml:space="preserve"> </t>
  </si>
  <si>
    <t>Year</t>
  </si>
  <si>
    <t>Education</t>
  </si>
  <si>
    <t>Total</t>
  </si>
  <si>
    <t>Population</t>
  </si>
  <si>
    <t>GDP per capita</t>
  </si>
  <si>
    <t xml:space="preserve">(1990 Int. GK$) </t>
  </si>
  <si>
    <t xml:space="preserve">Colombia </t>
  </si>
  <si>
    <t>IMAGE - RCP3-PD (2.6)</t>
  </si>
  <si>
    <t>Region</t>
  </si>
  <si>
    <t>Scenario</t>
  </si>
  <si>
    <t>Variable</t>
  </si>
  <si>
    <t>Unit</t>
  </si>
  <si>
    <t>MiniCAM - RCP 4.5</t>
  </si>
  <si>
    <t>RCP 2.6</t>
  </si>
  <si>
    <t>RCP 4.5</t>
  </si>
  <si>
    <t>RCP 6.0</t>
  </si>
  <si>
    <t>RCP 8.5</t>
  </si>
  <si>
    <t>AIM - RCP 6.0</t>
  </si>
  <si>
    <t>MESSAGE - RCP 8.5</t>
  </si>
  <si>
    <t>Temperature</t>
  </si>
  <si>
    <t>World</t>
  </si>
  <si>
    <t>Concentration - CO2-eq. (GHGs only)</t>
  </si>
  <si>
    <t>ppm</t>
  </si>
  <si>
    <t>GtC</t>
  </si>
  <si>
    <t>(1000 ppl)</t>
  </si>
  <si>
    <t>Pop Growth</t>
  </si>
  <si>
    <t>Rate (%)</t>
  </si>
  <si>
    <t>(1990 GK$)</t>
  </si>
  <si>
    <t>Concentration (GtC)</t>
  </si>
  <si>
    <t>temperature</t>
  </si>
  <si>
    <t>latitude</t>
  </si>
  <si>
    <t>nu1</t>
  </si>
  <si>
    <t>nu2</t>
  </si>
  <si>
    <t>nu3</t>
  </si>
  <si>
    <t>GDP</t>
  </si>
  <si>
    <t>(1990 bilion GK$)</t>
  </si>
  <si>
    <t>Education/Population (milion)</t>
  </si>
  <si>
    <t>Paraguay</t>
  </si>
  <si>
    <t>http://countrymeters.info/en/</t>
  </si>
  <si>
    <t/>
  </si>
  <si>
    <t>Finland</t>
  </si>
  <si>
    <t xml:space="preserve">Finland </t>
  </si>
  <si>
    <t xml:space="preserve">Denmark </t>
  </si>
  <si>
    <t>Denmark</t>
  </si>
  <si>
    <t xml:space="preserve">Available at: </t>
  </si>
  <si>
    <t>www.wittgensteincentre.org/dataexplorer</t>
  </si>
  <si>
    <t>Aa</t>
  </si>
  <si>
    <t>Am</t>
  </si>
  <si>
    <t>Da</t>
  </si>
  <si>
    <t>Dm</t>
  </si>
  <si>
    <t>YP</t>
  </si>
  <si>
    <t>Data</t>
  </si>
  <si>
    <t>Baseline</t>
  </si>
  <si>
    <t>Damages (agriculture)</t>
  </si>
  <si>
    <t>g0a</t>
  </si>
  <si>
    <t>g1a</t>
  </si>
  <si>
    <t>g2a</t>
  </si>
  <si>
    <t>g0m</t>
  </si>
  <si>
    <t>g1m</t>
  </si>
  <si>
    <t>g2m</t>
  </si>
  <si>
    <t>Damages (manufacturing)</t>
  </si>
  <si>
    <t>Temp</t>
  </si>
  <si>
    <t>Ratio of skilled to unskilled labor</t>
  </si>
  <si>
    <t>Estonia</t>
  </si>
  <si>
    <t xml:space="preserve">Estonia </t>
  </si>
  <si>
    <t>YP%</t>
  </si>
  <si>
    <t>Concentration</t>
  </si>
  <si>
    <t>Ratio</t>
  </si>
  <si>
    <t>Population (million)</t>
  </si>
  <si>
    <t>YA</t>
  </si>
  <si>
    <t>YA%</t>
  </si>
  <si>
    <t>Climate Change Scenarios</t>
  </si>
  <si>
    <t>Economic Projections</t>
  </si>
  <si>
    <t>Projections</t>
  </si>
  <si>
    <t>Dm/Da</t>
  </si>
  <si>
    <t>Ratio of manufacturing to agricultural productivity</t>
  </si>
  <si>
    <t>YA(fixed pop)</t>
  </si>
  <si>
    <t>YA% (fixed pop)</t>
  </si>
  <si>
    <t>Adult population</t>
  </si>
  <si>
    <t>Adult population (millions)</t>
  </si>
  <si>
    <r>
      <t>Concentration (GtC CO</t>
    </r>
    <r>
      <rPr>
        <b/>
        <vertAlign val="subscript"/>
        <sz val="18"/>
        <color theme="1"/>
        <rFont val="Calibri"/>
        <family val="2"/>
        <scheme val="minor"/>
      </rPr>
      <t>2</t>
    </r>
    <r>
      <rPr>
        <b/>
        <sz val="18"/>
        <color theme="1"/>
        <rFont val="Calibri"/>
        <family val="2"/>
        <scheme val="minor"/>
      </rPr>
      <t>-eq.)</t>
    </r>
  </si>
  <si>
    <r>
      <t>Global temperature (</t>
    </r>
    <r>
      <rPr>
        <b/>
        <sz val="18"/>
        <color theme="1"/>
        <rFont val="Calibri"/>
        <family val="2"/>
      </rPr>
      <t>˚C)</t>
    </r>
  </si>
  <si>
    <t>NEEEDS UPDATE!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</si>
</sst>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#\ ###\ ###\ ##0;\-#\ ###\ ###\ ##0;0"/>
    <numFmt numFmtId="166" formatCode="0.000"/>
    <numFmt numFmtId="167" formatCode="_(* #,##0_);_(* \(#,##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0"/>
      <color rgb="FFFFFFFF"/>
      <name val="Arial"/>
      <family val="2"/>
    </font>
    <font>
      <sz val="10"/>
      <color rgb="FF444444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444444"/>
      <name val="Tahoma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 Light"/>
      <family val="2"/>
      <scheme val="major"/>
    </font>
    <font>
      <b/>
      <sz val="20"/>
      <color theme="1"/>
      <name val="Calibri"/>
      <family val="2"/>
      <scheme val="minor"/>
    </font>
    <font>
      <b/>
      <vertAlign val="subscript"/>
      <sz val="18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sz val="48"/>
      <color rgb="FFFF0000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5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444444"/>
      </left>
      <right/>
      <top style="medium">
        <color rgb="FF444444"/>
      </top>
      <bottom/>
      <diagonal/>
    </border>
    <border>
      <left/>
      <right/>
      <top style="medium">
        <color rgb="FF444444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0" fillId="0" borderId="0" applyNumberFormat="0" applyFill="0" applyBorder="0" applyAlignment="0" applyProtection="0"/>
  </cellStyleXfs>
  <cellXfs count="245">
    <xf numFmtId="0" fontId="0" fillId="0" borderId="0" xfId="0"/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65" fontId="18" fillId="0" borderId="0" xfId="0" applyNumberFormat="1" applyFont="1" applyAlignment="1">
      <alignment horizontal="right"/>
    </xf>
    <xf numFmtId="0" fontId="19" fillId="33" borderId="10" xfId="0" applyFont="1" applyFill="1" applyBorder="1" applyAlignment="1">
      <alignment horizontal="center" vertical="center"/>
    </xf>
    <xf numFmtId="0" fontId="19" fillId="33" borderId="10" xfId="0" quotePrefix="1" applyFont="1" applyFill="1" applyBorder="1" applyAlignment="1">
      <alignment horizontal="center" vertical="center"/>
    </xf>
    <xf numFmtId="0" fontId="19" fillId="33" borderId="10" xfId="0" quotePrefix="1" applyFont="1" applyFill="1" applyBorder="1" applyAlignment="1">
      <alignment horizontal="center" vertical="center" wrapText="1"/>
    </xf>
    <xf numFmtId="0" fontId="19" fillId="33" borderId="11" xfId="0" quotePrefix="1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35" borderId="13" xfId="0" applyFill="1" applyBorder="1"/>
    <xf numFmtId="0" fontId="0" fillId="35" borderId="14" xfId="0" applyFill="1" applyBorder="1"/>
    <xf numFmtId="0" fontId="0" fillId="35" borderId="15" xfId="0" applyFill="1" applyBorder="1"/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0" borderId="24" xfId="0" applyBorder="1"/>
    <xf numFmtId="1" fontId="0" fillId="36" borderId="24" xfId="0" applyNumberFormat="1" applyFill="1" applyBorder="1" applyAlignment="1">
      <alignment horizontal="center"/>
    </xf>
    <xf numFmtId="1" fontId="0" fillId="0" borderId="0" xfId="0" applyNumberFormat="1" applyBorder="1"/>
    <xf numFmtId="1" fontId="0" fillId="0" borderId="17" xfId="0" applyNumberFormat="1" applyBorder="1"/>
    <xf numFmtId="0" fontId="0" fillId="0" borderId="26" xfId="0" applyBorder="1"/>
    <xf numFmtId="1" fontId="0" fillId="36" borderId="25" xfId="0" applyNumberFormat="1" applyFill="1" applyBorder="1" applyAlignment="1">
      <alignment horizontal="center"/>
    </xf>
    <xf numFmtId="2" fontId="0" fillId="0" borderId="24" xfId="0" applyNumberFormat="1" applyBorder="1"/>
    <xf numFmtId="0" fontId="20" fillId="39" borderId="27" xfId="0" applyFont="1" applyFill="1" applyBorder="1" applyAlignment="1">
      <alignment horizontal="center" vertical="center" wrapText="1"/>
    </xf>
    <xf numFmtId="0" fontId="22" fillId="0" borderId="0" xfId="0" applyNumberFormat="1" applyFont="1" applyFill="1" applyAlignment="1"/>
    <xf numFmtId="0" fontId="22" fillId="0" borderId="0" xfId="0" applyNumberFormat="1" applyFont="1" applyFill="1" applyAlignment="1">
      <alignment horizontal="center"/>
    </xf>
    <xf numFmtId="0" fontId="23" fillId="0" borderId="0" xfId="0" applyNumberFormat="1" applyFont="1" applyFill="1"/>
    <xf numFmtId="0" fontId="23" fillId="0" borderId="0" xfId="0" applyNumberFormat="1" applyFont="1" applyFill="1" applyAlignment="1">
      <alignment horizontal="right"/>
    </xf>
    <xf numFmtId="0" fontId="24" fillId="0" borderId="0" xfId="0" applyNumberFormat="1" applyFont="1" applyFill="1"/>
    <xf numFmtId="0" fontId="24" fillId="0" borderId="0" xfId="0" applyFont="1" applyFill="1"/>
    <xf numFmtId="3" fontId="26" fillId="0" borderId="0" xfId="0" applyNumberFormat="1" applyFont="1" applyFill="1" applyAlignment="1">
      <alignment horizontal="right"/>
    </xf>
    <xf numFmtId="3" fontId="26" fillId="0" borderId="0" xfId="0" applyNumberFormat="1" applyFont="1" applyFill="1"/>
    <xf numFmtId="3" fontId="23" fillId="0" borderId="0" xfId="0" applyNumberFormat="1" applyFont="1" applyFill="1"/>
    <xf numFmtId="3" fontId="24" fillId="0" borderId="0" xfId="0" applyNumberFormat="1" applyFont="1" applyFill="1"/>
    <xf numFmtId="0" fontId="0" fillId="34" borderId="26" xfId="0" applyFill="1" applyBorder="1"/>
    <xf numFmtId="0" fontId="0" fillId="34" borderId="24" xfId="0" applyFill="1" applyBorder="1"/>
    <xf numFmtId="0" fontId="0" fillId="34" borderId="25" xfId="0" applyFill="1" applyBorder="1"/>
    <xf numFmtId="10" fontId="0" fillId="0" borderId="24" xfId="42" applyNumberFormat="1" applyFont="1" applyBorder="1"/>
    <xf numFmtId="10" fontId="0" fillId="41" borderId="24" xfId="42" applyNumberFormat="1" applyFont="1" applyFill="1" applyBorder="1"/>
    <xf numFmtId="0" fontId="0" fillId="42" borderId="12" xfId="0" applyFill="1" applyBorder="1" applyAlignment="1">
      <alignment horizontal="center"/>
    </xf>
    <xf numFmtId="0" fontId="0" fillId="43" borderId="0" xfId="0" applyFill="1" applyAlignment="1">
      <alignment horizontal="left" vertical="top"/>
    </xf>
    <xf numFmtId="166" fontId="0" fillId="0" borderId="0" xfId="0" applyNumberFormat="1"/>
    <xf numFmtId="0" fontId="0" fillId="43" borderId="0" xfId="0" applyFill="1" applyAlignment="1">
      <alignment horizontal="center" vertical="top"/>
    </xf>
    <xf numFmtId="0" fontId="0" fillId="44" borderId="21" xfId="0" applyFill="1" applyBorder="1" applyAlignment="1">
      <alignment horizontal="center"/>
    </xf>
    <xf numFmtId="0" fontId="0" fillId="44" borderId="22" xfId="0" applyFill="1" applyBorder="1" applyAlignment="1">
      <alignment horizontal="center"/>
    </xf>
    <xf numFmtId="0" fontId="0" fillId="44" borderId="23" xfId="0" applyFill="1" applyBorder="1" applyAlignment="1">
      <alignment horizontal="center"/>
    </xf>
    <xf numFmtId="0" fontId="0" fillId="0" borderId="25" xfId="0" applyBorder="1"/>
    <xf numFmtId="0" fontId="0" fillId="38" borderId="25" xfId="0" applyFill="1" applyBorder="1"/>
    <xf numFmtId="0" fontId="0" fillId="38" borderId="26" xfId="0" applyFill="1" applyBorder="1"/>
    <xf numFmtId="0" fontId="0" fillId="38" borderId="13" xfId="0" applyFill="1" applyBorder="1"/>
    <xf numFmtId="0" fontId="0" fillId="38" borderId="18" xfId="0" applyFill="1" applyBorder="1"/>
    <xf numFmtId="0" fontId="0" fillId="40" borderId="21" xfId="0" applyFill="1" applyBorder="1" applyAlignment="1">
      <alignment horizontal="center"/>
    </xf>
    <xf numFmtId="0" fontId="0" fillId="45" borderId="26" xfId="0" applyFill="1" applyBorder="1" applyAlignment="1">
      <alignment horizontal="center"/>
    </xf>
    <xf numFmtId="0" fontId="0" fillId="45" borderId="25" xfId="0" applyFill="1" applyBorder="1" applyAlignment="1">
      <alignment horizontal="center"/>
    </xf>
    <xf numFmtId="166" fontId="0" fillId="0" borderId="0" xfId="0" applyNumberFormat="1" applyBorder="1"/>
    <xf numFmtId="166" fontId="0" fillId="0" borderId="17" xfId="0" applyNumberFormat="1" applyBorder="1"/>
    <xf numFmtId="1" fontId="14" fillId="0" borderId="0" xfId="0" applyNumberFormat="1" applyFont="1" applyBorder="1"/>
    <xf numFmtId="1" fontId="14" fillId="0" borderId="17" xfId="0" applyNumberFormat="1" applyFont="1" applyBorder="1"/>
    <xf numFmtId="1" fontId="14" fillId="0" borderId="19" xfId="0" applyNumberFormat="1" applyFont="1" applyBorder="1"/>
    <xf numFmtId="1" fontId="14" fillId="0" borderId="20" xfId="0" applyNumberFormat="1" applyFont="1" applyBorder="1"/>
    <xf numFmtId="0" fontId="0" fillId="0" borderId="0" xfId="0" applyFill="1" applyBorder="1"/>
    <xf numFmtId="167" fontId="0" fillId="0" borderId="0" xfId="43" applyNumberFormat="1" applyFont="1" applyFill="1" applyBorder="1"/>
    <xf numFmtId="0" fontId="16" fillId="34" borderId="24" xfId="0" applyFont="1" applyFill="1" applyBorder="1"/>
    <xf numFmtId="0" fontId="16" fillId="0" borderId="16" xfId="0" applyFont="1" applyBorder="1"/>
    <xf numFmtId="0" fontId="16" fillId="0" borderId="0" xfId="0" applyFont="1" applyBorder="1"/>
    <xf numFmtId="0" fontId="16" fillId="0" borderId="17" xfId="0" applyFont="1" applyBorder="1"/>
    <xf numFmtId="0" fontId="16" fillId="0" borderId="24" xfId="0" applyFont="1" applyBorder="1"/>
    <xf numFmtId="10" fontId="16" fillId="41" borderId="24" xfId="42" applyNumberFormat="1" applyFont="1" applyFill="1" applyBorder="1"/>
    <xf numFmtId="1" fontId="29" fillId="0" borderId="0" xfId="0" applyNumberFormat="1" applyFont="1" applyBorder="1"/>
    <xf numFmtId="1" fontId="29" fillId="0" borderId="17" xfId="0" applyNumberFormat="1" applyFont="1" applyBorder="1"/>
    <xf numFmtId="0" fontId="16" fillId="0" borderId="0" xfId="0" applyFont="1"/>
    <xf numFmtId="0" fontId="0" fillId="45" borderId="14" xfId="0" applyFill="1" applyBorder="1" applyAlignment="1">
      <alignment horizontal="center"/>
    </xf>
    <xf numFmtId="0" fontId="0" fillId="45" borderId="24" xfId="0" applyFill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166" fontId="0" fillId="0" borderId="24" xfId="0" applyNumberFormat="1" applyBorder="1" applyAlignment="1">
      <alignment horizontal="center"/>
    </xf>
    <xf numFmtId="166" fontId="16" fillId="0" borderId="24" xfId="0" applyNumberFormat="1" applyFont="1" applyBorder="1" applyAlignment="1">
      <alignment horizontal="center"/>
    </xf>
    <xf numFmtId="166" fontId="0" fillId="0" borderId="14" xfId="0" applyNumberFormat="1" applyBorder="1"/>
    <xf numFmtId="166" fontId="0" fillId="0" borderId="15" xfId="0" applyNumberFormat="1" applyBorder="1"/>
    <xf numFmtId="166" fontId="16" fillId="0" borderId="0" xfId="0" applyNumberFormat="1" applyFont="1" applyBorder="1"/>
    <xf numFmtId="166" fontId="0" fillId="0" borderId="19" xfId="0" applyNumberFormat="1" applyBorder="1"/>
    <xf numFmtId="166" fontId="0" fillId="0" borderId="20" xfId="0" applyNumberFormat="1" applyBorder="1"/>
    <xf numFmtId="166" fontId="0" fillId="0" borderId="26" xfId="0" applyNumberFormat="1" applyBorder="1"/>
    <xf numFmtId="166" fontId="0" fillId="0" borderId="24" xfId="0" applyNumberFormat="1" applyBorder="1"/>
    <xf numFmtId="0" fontId="0" fillId="44" borderId="21" xfId="0" applyFill="1" applyBorder="1" applyAlignment="1">
      <alignment horizontal="center"/>
    </xf>
    <xf numFmtId="0" fontId="0" fillId="44" borderId="22" xfId="0" applyFill="1" applyBorder="1" applyAlignment="1">
      <alignment horizontal="center"/>
    </xf>
    <xf numFmtId="0" fontId="0" fillId="44" borderId="23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166" fontId="16" fillId="37" borderId="24" xfId="0" applyNumberFormat="1" applyFont="1" applyFill="1" applyBorder="1"/>
    <xf numFmtId="166" fontId="0" fillId="37" borderId="24" xfId="0" applyNumberFormat="1" applyFill="1" applyBorder="1"/>
    <xf numFmtId="166" fontId="0" fillId="37" borderId="25" xfId="0" applyNumberFormat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30" fillId="0" borderId="0" xfId="44"/>
    <xf numFmtId="0" fontId="20" fillId="47" borderId="28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vertical="center" wrapText="1"/>
    </xf>
    <xf numFmtId="0" fontId="31" fillId="0" borderId="11" xfId="0" applyFont="1" applyFill="1" applyBorder="1" applyAlignment="1">
      <alignment vertical="center" wrapText="1"/>
    </xf>
    <xf numFmtId="0" fontId="18" fillId="46" borderId="0" xfId="0" applyFont="1" applyFill="1" applyAlignment="1">
      <alignment horizontal="left" indent="2"/>
    </xf>
    <xf numFmtId="0" fontId="18" fillId="47" borderId="0" xfId="0" applyFont="1" applyFill="1" applyAlignment="1">
      <alignment horizontal="left" indent="2"/>
    </xf>
    <xf numFmtId="2" fontId="0" fillId="0" borderId="26" xfId="0" applyNumberFormat="1" applyBorder="1"/>
    <xf numFmtId="0" fontId="25" fillId="47" borderId="0" xfId="0" applyFont="1" applyFill="1" applyAlignment="1">
      <alignment horizontal="center" wrapText="1"/>
    </xf>
    <xf numFmtId="0" fontId="25" fillId="46" borderId="0" xfId="0" applyFont="1" applyFill="1" applyAlignment="1">
      <alignment horizontal="center" wrapText="1"/>
    </xf>
    <xf numFmtId="166" fontId="0" fillId="46" borderId="0" xfId="0" applyNumberFormat="1" applyFill="1" applyBorder="1"/>
    <xf numFmtId="166" fontId="0" fillId="46" borderId="17" xfId="0" applyNumberFormat="1" applyFill="1" applyBorder="1"/>
    <xf numFmtId="166" fontId="0" fillId="46" borderId="24" xfId="0" applyNumberFormat="1" applyFill="1" applyBorder="1" applyAlignment="1">
      <alignment horizontal="center"/>
    </xf>
    <xf numFmtId="166" fontId="0" fillId="47" borderId="0" xfId="0" applyNumberFormat="1" applyFill="1" applyBorder="1"/>
    <xf numFmtId="166" fontId="0" fillId="47" borderId="17" xfId="0" applyNumberFormat="1" applyFill="1" applyBorder="1"/>
    <xf numFmtId="166" fontId="0" fillId="47" borderId="24" xfId="0" applyNumberFormat="1" applyFill="1" applyBorder="1" applyAlignment="1">
      <alignment horizontal="center"/>
    </xf>
    <xf numFmtId="10" fontId="0" fillId="47" borderId="25" xfId="42" applyNumberFormat="1" applyFont="1" applyFill="1" applyBorder="1"/>
    <xf numFmtId="10" fontId="0" fillId="46" borderId="25" xfId="42" applyNumberFormat="1" applyFont="1" applyFill="1" applyBorder="1"/>
    <xf numFmtId="0" fontId="0" fillId="49" borderId="0" xfId="0" applyFill="1"/>
    <xf numFmtId="0" fontId="0" fillId="0" borderId="11" xfId="0" applyBorder="1"/>
    <xf numFmtId="0" fontId="18" fillId="49" borderId="0" xfId="0" applyFont="1" applyFill="1" applyAlignment="1">
      <alignment horizontal="left" indent="2"/>
    </xf>
    <xf numFmtId="10" fontId="0" fillId="46" borderId="24" xfId="42" applyNumberFormat="1" applyFont="1" applyFill="1" applyBorder="1"/>
    <xf numFmtId="10" fontId="0" fillId="47" borderId="24" xfId="42" applyNumberFormat="1" applyFont="1" applyFill="1" applyBorder="1"/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50" borderId="0" xfId="0" applyFill="1"/>
    <xf numFmtId="0" fontId="18" fillId="50" borderId="0" xfId="0" applyFont="1" applyFill="1" applyAlignment="1">
      <alignment horizontal="left" indent="2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0" fillId="0" borderId="17" xfId="0" applyFill="1" applyBorder="1"/>
    <xf numFmtId="0" fontId="0" fillId="0" borderId="1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42" borderId="21" xfId="0" applyFill="1" applyBorder="1" applyAlignment="1">
      <alignment horizontal="center"/>
    </xf>
    <xf numFmtId="0" fontId="0" fillId="42" borderId="22" xfId="0" applyFill="1" applyBorder="1" applyAlignment="1">
      <alignment horizontal="center"/>
    </xf>
    <xf numFmtId="0" fontId="0" fillId="42" borderId="23" xfId="0" applyFill="1" applyBorder="1" applyAlignment="1">
      <alignment horizontal="center"/>
    </xf>
    <xf numFmtId="0" fontId="14" fillId="0" borderId="16" xfId="0" applyFont="1" applyBorder="1"/>
    <xf numFmtId="0" fontId="14" fillId="0" borderId="0" xfId="0" applyFont="1" applyBorder="1"/>
    <xf numFmtId="0" fontId="14" fillId="0" borderId="17" xfId="0" applyFont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0" fillId="0" borderId="0" xfId="0" applyFont="1" applyBorder="1"/>
    <xf numFmtId="0" fontId="0" fillId="0" borderId="17" xfId="0" applyFont="1" applyBorder="1"/>
    <xf numFmtId="10" fontId="0" fillId="0" borderId="14" xfId="42" applyNumberFormat="1" applyFont="1" applyBorder="1"/>
    <xf numFmtId="10" fontId="0" fillId="0" borderId="0" xfId="42" applyNumberFormat="1" applyFont="1" applyBorder="1"/>
    <xf numFmtId="10" fontId="0" fillId="0" borderId="19" xfId="42" applyNumberFormat="1" applyFont="1" applyBorder="1"/>
    <xf numFmtId="0" fontId="16" fillId="0" borderId="0" xfId="0" applyFont="1" applyBorder="1" applyAlignment="1">
      <alignment horizontal="center"/>
    </xf>
    <xf numFmtId="10" fontId="0" fillId="0" borderId="15" xfId="42" applyNumberFormat="1" applyFont="1" applyBorder="1"/>
    <xf numFmtId="10" fontId="0" fillId="0" borderId="17" xfId="42" applyNumberFormat="1" applyFont="1" applyBorder="1"/>
    <xf numFmtId="0" fontId="0" fillId="41" borderId="0" xfId="0" applyFill="1" applyBorder="1"/>
    <xf numFmtId="0" fontId="0" fillId="41" borderId="19" xfId="0" applyFill="1" applyBorder="1"/>
    <xf numFmtId="0" fontId="0" fillId="41" borderId="14" xfId="0" applyFill="1" applyBorder="1"/>
    <xf numFmtId="0" fontId="0" fillId="41" borderId="0" xfId="0" applyFont="1" applyFill="1" applyBorder="1"/>
    <xf numFmtId="0" fontId="0" fillId="41" borderId="14" xfId="0" applyNumberFormat="1" applyFill="1" applyBorder="1"/>
    <xf numFmtId="0" fontId="0" fillId="41" borderId="0" xfId="0" applyNumberFormat="1" applyFont="1" applyFill="1" applyBorder="1"/>
    <xf numFmtId="0" fontId="0" fillId="41" borderId="0" xfId="0" applyNumberFormat="1" applyFill="1" applyBorder="1"/>
    <xf numFmtId="0" fontId="0" fillId="41" borderId="19" xfId="0" applyNumberFormat="1" applyFill="1" applyBorder="1"/>
    <xf numFmtId="0" fontId="0" fillId="41" borderId="14" xfId="42" applyNumberFormat="1" applyFont="1" applyFill="1" applyBorder="1"/>
    <xf numFmtId="0" fontId="0" fillId="41" borderId="0" xfId="42" applyNumberFormat="1" applyFont="1" applyFill="1" applyBorder="1"/>
    <xf numFmtId="0" fontId="0" fillId="41" borderId="19" xfId="42" applyNumberFormat="1" applyFont="1" applyFill="1" applyBorder="1"/>
    <xf numFmtId="0" fontId="0" fillId="51" borderId="0" xfId="0" applyFill="1"/>
    <xf numFmtId="0" fontId="0" fillId="0" borderId="0" xfId="0" applyFill="1"/>
    <xf numFmtId="0" fontId="0" fillId="52" borderId="0" xfId="0" applyFill="1"/>
    <xf numFmtId="10" fontId="0" fillId="0" borderId="0" xfId="0" applyNumberFormat="1"/>
    <xf numFmtId="0" fontId="0" fillId="53" borderId="0" xfId="0" applyFill="1"/>
    <xf numFmtId="166" fontId="16" fillId="0" borderId="0" xfId="0" applyNumberFormat="1" applyFont="1" applyFill="1" applyBorder="1"/>
    <xf numFmtId="166" fontId="16" fillId="0" borderId="17" xfId="0" applyNumberFormat="1" applyFont="1" applyFill="1" applyBorder="1"/>
    <xf numFmtId="0" fontId="16" fillId="37" borderId="24" xfId="0" applyFont="1" applyFill="1" applyBorder="1"/>
    <xf numFmtId="2" fontId="0" fillId="37" borderId="24" xfId="0" applyNumberFormat="1" applyFill="1" applyBorder="1"/>
    <xf numFmtId="2" fontId="0" fillId="37" borderId="25" xfId="0" applyNumberFormat="1" applyFill="1" applyBorder="1"/>
    <xf numFmtId="2" fontId="16" fillId="37" borderId="24" xfId="0" applyNumberFormat="1" applyFont="1" applyFill="1" applyBorder="1"/>
    <xf numFmtId="0" fontId="0" fillId="44" borderId="21" xfId="0" applyFill="1" applyBorder="1" applyAlignment="1">
      <alignment horizontal="center"/>
    </xf>
    <xf numFmtId="0" fontId="0" fillId="44" borderId="22" xfId="0" applyFill="1" applyBorder="1" applyAlignment="1">
      <alignment horizontal="center"/>
    </xf>
    <xf numFmtId="0" fontId="0" fillId="44" borderId="23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42" borderId="21" xfId="0" applyFill="1" applyBorder="1" applyAlignment="1">
      <alignment horizontal="center"/>
    </xf>
    <xf numFmtId="0" fontId="0" fillId="42" borderId="22" xfId="0" applyFill="1" applyBorder="1" applyAlignment="1">
      <alignment horizontal="center"/>
    </xf>
    <xf numFmtId="0" fontId="0" fillId="42" borderId="23" xfId="0" applyFill="1" applyBorder="1" applyAlignment="1">
      <alignment horizontal="center"/>
    </xf>
    <xf numFmtId="11" fontId="0" fillId="0" borderId="0" xfId="0" applyNumberFormat="1"/>
    <xf numFmtId="0" fontId="16" fillId="0" borderId="12" xfId="0" applyFont="1" applyBorder="1" applyAlignment="1">
      <alignment horizontal="center"/>
    </xf>
    <xf numFmtId="0" fontId="0" fillId="0" borderId="24" xfId="0" applyFont="1" applyBorder="1"/>
    <xf numFmtId="0" fontId="0" fillId="51" borderId="0" xfId="0" applyFill="1" applyBorder="1"/>
    <xf numFmtId="0" fontId="33" fillId="51" borderId="0" xfId="0" applyFont="1" applyFill="1" applyBorder="1" applyAlignment="1">
      <alignment vertical="center" textRotation="90" wrapText="1"/>
    </xf>
    <xf numFmtId="0" fontId="33" fillId="51" borderId="0" xfId="0" applyFont="1" applyFill="1" applyBorder="1" applyAlignment="1">
      <alignment vertical="center" textRotation="90"/>
    </xf>
    <xf numFmtId="0" fontId="33" fillId="51" borderId="0" xfId="0" applyFont="1" applyFill="1" applyAlignment="1">
      <alignment vertical="center" textRotation="90" wrapText="1"/>
    </xf>
    <xf numFmtId="10" fontId="0" fillId="0" borderId="26" xfId="42" applyNumberFormat="1" applyFont="1" applyBorder="1"/>
    <xf numFmtId="0" fontId="16" fillId="0" borderId="12" xfId="0" applyFont="1" applyBorder="1" applyAlignment="1">
      <alignment horizontal="left"/>
    </xf>
    <xf numFmtId="0" fontId="16" fillId="0" borderId="23" xfId="0" applyFont="1" applyBorder="1" applyAlignment="1">
      <alignment horizontal="left"/>
    </xf>
    <xf numFmtId="0" fontId="0" fillId="0" borderId="15" xfId="42" applyNumberFormat="1" applyFont="1" applyBorder="1"/>
    <xf numFmtId="0" fontId="0" fillId="0" borderId="17" xfId="42" applyNumberFormat="1" applyFont="1" applyBorder="1"/>
    <xf numFmtId="0" fontId="0" fillId="0" borderId="20" xfId="0" applyNumberFormat="1" applyBorder="1"/>
    <xf numFmtId="10" fontId="0" fillId="0" borderId="25" xfId="42" applyNumberFormat="1" applyFont="1" applyBorder="1"/>
    <xf numFmtId="0" fontId="34" fillId="51" borderId="0" xfId="0" applyFont="1" applyFill="1" applyBorder="1" applyAlignment="1">
      <alignment horizontal="center" vertical="center"/>
    </xf>
    <xf numFmtId="0" fontId="0" fillId="54" borderId="0" xfId="0" applyFill="1"/>
    <xf numFmtId="0" fontId="32" fillId="54" borderId="0" xfId="0" applyFont="1" applyFill="1" applyAlignment="1">
      <alignment vertical="center" textRotation="90"/>
    </xf>
    <xf numFmtId="0" fontId="0" fillId="55" borderId="0" xfId="0" applyFill="1"/>
    <xf numFmtId="0" fontId="32" fillId="55" borderId="0" xfId="0" applyFont="1" applyFill="1" applyAlignment="1">
      <alignment vertical="center" textRotation="90"/>
    </xf>
    <xf numFmtId="0" fontId="0" fillId="55" borderId="0" xfId="0" applyFill="1" applyAlignment="1">
      <alignment horizontal="center" vertical="center"/>
    </xf>
    <xf numFmtId="0" fontId="32" fillId="55" borderId="0" xfId="0" applyFont="1" applyFill="1" applyAlignment="1">
      <alignment horizontal="center" vertical="center" textRotation="90"/>
    </xf>
    <xf numFmtId="0" fontId="16" fillId="0" borderId="13" xfId="0" applyFont="1" applyBorder="1" applyAlignment="1">
      <alignment horizontal="center" vertical="center" textRotation="90"/>
    </xf>
    <xf numFmtId="0" fontId="16" fillId="0" borderId="16" xfId="0" applyFont="1" applyBorder="1" applyAlignment="1">
      <alignment horizontal="center" vertical="center" textRotation="90"/>
    </xf>
    <xf numFmtId="0" fontId="16" fillId="0" borderId="18" xfId="0" applyFont="1" applyBorder="1" applyAlignment="1">
      <alignment horizontal="center" vertical="center" textRotation="90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42" borderId="21" xfId="0" applyFill="1" applyBorder="1" applyAlignment="1">
      <alignment horizontal="center"/>
    </xf>
    <xf numFmtId="0" fontId="0" fillId="42" borderId="22" xfId="0" applyFill="1" applyBorder="1" applyAlignment="1">
      <alignment horizontal="center"/>
    </xf>
    <xf numFmtId="0" fontId="0" fillId="42" borderId="23" xfId="0" applyFill="1" applyBorder="1" applyAlignment="1">
      <alignment horizontal="center"/>
    </xf>
    <xf numFmtId="0" fontId="0" fillId="44" borderId="21" xfId="0" applyFill="1" applyBorder="1" applyAlignment="1">
      <alignment horizontal="center"/>
    </xf>
    <xf numFmtId="0" fontId="0" fillId="44" borderId="22" xfId="0" applyFill="1" applyBorder="1" applyAlignment="1">
      <alignment horizontal="center"/>
    </xf>
    <xf numFmtId="0" fontId="0" fillId="44" borderId="23" xfId="0" applyFill="1" applyBorder="1" applyAlignment="1">
      <alignment horizontal="center"/>
    </xf>
    <xf numFmtId="0" fontId="0" fillId="35" borderId="21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5" borderId="23" xfId="0" applyFill="1" applyBorder="1" applyAlignment="1">
      <alignment horizontal="center"/>
    </xf>
    <xf numFmtId="0" fontId="0" fillId="37" borderId="19" xfId="0" applyFill="1" applyBorder="1" applyAlignment="1">
      <alignment horizontal="center"/>
    </xf>
    <xf numFmtId="0" fontId="33" fillId="51" borderId="0" xfId="0" applyFont="1" applyFill="1" applyAlignment="1">
      <alignment horizontal="right" vertical="center" textRotation="90" wrapText="1"/>
    </xf>
    <xf numFmtId="0" fontId="34" fillId="51" borderId="0" xfId="0" applyFont="1" applyFill="1" applyBorder="1" applyAlignment="1">
      <alignment horizontal="center" vertical="center"/>
    </xf>
    <xf numFmtId="0" fontId="33" fillId="51" borderId="0" xfId="0" applyFont="1" applyFill="1" applyBorder="1" applyAlignment="1">
      <alignment horizontal="right" vertical="center" textRotation="90" wrapText="1"/>
    </xf>
    <xf numFmtId="0" fontId="33" fillId="51" borderId="0" xfId="0" applyFont="1" applyFill="1" applyBorder="1" applyAlignment="1">
      <alignment horizontal="right" vertical="center" textRotation="90"/>
    </xf>
    <xf numFmtId="0" fontId="33" fillId="51" borderId="0" xfId="0" applyFont="1" applyFill="1" applyBorder="1" applyAlignment="1">
      <alignment horizontal="center" vertical="center" textRotation="90" wrapText="1"/>
    </xf>
    <xf numFmtId="0" fontId="33" fillId="51" borderId="0" xfId="0" applyFont="1" applyFill="1" applyBorder="1" applyAlignment="1">
      <alignment horizontal="center" vertical="center" textRotation="90"/>
    </xf>
    <xf numFmtId="0" fontId="35" fillId="55" borderId="0" xfId="0" applyFont="1" applyFill="1" applyAlignment="1">
      <alignment horizontal="center" vertical="center" textRotation="90" wrapText="1"/>
    </xf>
    <xf numFmtId="0" fontId="33" fillId="55" borderId="0" xfId="0" applyFont="1" applyFill="1" applyAlignment="1">
      <alignment horizontal="center" vertical="center" textRotation="90" wrapText="1"/>
    </xf>
    <xf numFmtId="3" fontId="0" fillId="0" borderId="0" xfId="0" applyNumberFormat="1"/>
    <xf numFmtId="0" fontId="0" fillId="0" borderId="0" xfId="0" applyNumberFormat="1"/>
    <xf numFmtId="4" fontId="0" fillId="0" borderId="0" xfId="0" applyNumberFormat="1"/>
    <xf numFmtId="0" fontId="0" fillId="50" borderId="0" xfId="0" applyFill="1" applyBorder="1"/>
    <xf numFmtId="0" fontId="0" fillId="50" borderId="19" xfId="0" applyFill="1" applyBorder="1"/>
    <xf numFmtId="0" fontId="0" fillId="50" borderId="14" xfId="0" applyNumberFormat="1" applyFill="1" applyBorder="1"/>
    <xf numFmtId="0" fontId="0" fillId="50" borderId="0" xfId="0" applyNumberFormat="1" applyFont="1" applyFill="1" applyBorder="1"/>
    <xf numFmtId="0" fontId="0" fillId="50" borderId="0" xfId="0" applyNumberFormat="1" applyFill="1" applyBorder="1"/>
    <xf numFmtId="0" fontId="0" fillId="50" borderId="19" xfId="0" applyNumberFormat="1" applyFill="1" applyBorder="1"/>
    <xf numFmtId="0" fontId="0" fillId="50" borderId="14" xfId="42" applyNumberFormat="1" applyFont="1" applyFill="1" applyBorder="1"/>
    <xf numFmtId="0" fontId="0" fillId="50" borderId="0" xfId="42" applyNumberFormat="1" applyFont="1" applyFill="1" applyBorder="1"/>
    <xf numFmtId="0" fontId="0" fillId="50" borderId="19" xfId="42" applyNumberFormat="1" applyFont="1" applyFill="1" applyBorder="1"/>
    <xf numFmtId="0" fontId="38" fillId="0" borderId="0" xfId="0" applyFont="1"/>
  </cellXfs>
  <cellStyles count="45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legamento ipertestuale" xfId="44" builtinId="8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Migliaia" xfId="43" builtinId="3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Percentuale" xfId="42" builtinId="5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layout>
        <c:manualLayout>
          <c:xMode val="edge"/>
          <c:yMode val="edge"/>
          <c:x val="0.4846411829968304"/>
          <c:y val="2.634566362657905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'1'!$R$9:$R$29</c:f>
              <c:numCache>
                <c:formatCode>General</c:formatCode>
                <c:ptCount val="21"/>
                <c:pt idx="0">
                  <c:v>0.48888888888888893</c:v>
                </c:pt>
                <c:pt idx="1">
                  <c:v>0.56818181818181823</c:v>
                </c:pt>
                <c:pt idx="2">
                  <c:v>0.67441860465116299</c:v>
                </c:pt>
                <c:pt idx="3" formatCode="0.00">
                  <c:v>0.82500000000000007</c:v>
                </c:pt>
                <c:pt idx="4" formatCode="0.00">
                  <c:v>0.94871794871794857</c:v>
                </c:pt>
                <c:pt idx="5" formatCode="0.00">
                  <c:v>1.1388888888888888</c:v>
                </c:pt>
                <c:pt idx="6" formatCode="0.00">
                  <c:v>1.3636363636363635</c:v>
                </c:pt>
                <c:pt idx="7" formatCode="0.00">
                  <c:v>1.6333333333333333</c:v>
                </c:pt>
                <c:pt idx="8" formatCode="0.00">
                  <c:v>1.8928571428571428</c:v>
                </c:pt>
                <c:pt idx="9" formatCode="0.00">
                  <c:v>2.1538461538461542</c:v>
                </c:pt>
                <c:pt idx="10" formatCode="0.00">
                  <c:v>2.6086956521739135</c:v>
                </c:pt>
                <c:pt idx="11" formatCode="0.00">
                  <c:v>3.149999999999999</c:v>
                </c:pt>
                <c:pt idx="12" formatCode="0.00">
                  <c:v>3.8823529411764706</c:v>
                </c:pt>
                <c:pt idx="13" formatCode="0.00">
                  <c:v>4.3125</c:v>
                </c:pt>
                <c:pt idx="14" formatCode="0.00">
                  <c:v>5.5384615384615383</c:v>
                </c:pt>
                <c:pt idx="15" formatCode="0.00">
                  <c:v>6.7272727272727284</c:v>
                </c:pt>
                <c:pt idx="16" formatCode="0.00">
                  <c:v>6.9090909090909101</c:v>
                </c:pt>
                <c:pt idx="17" formatCode="0.00">
                  <c:v>8.6666666666666661</c:v>
                </c:pt>
                <c:pt idx="18" formatCode="0.00">
                  <c:v>9.875</c:v>
                </c:pt>
                <c:pt idx="19" formatCode="0.00">
                  <c:v>13.500000000000002</c:v>
                </c:pt>
                <c:pt idx="20" formatCode="0.00">
                  <c:v>16.399999999999999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98-45D6-B2E2-79349654C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64096"/>
        <c:axId val="65763520"/>
      </c:scatterChart>
      <c:valAx>
        <c:axId val="6576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63520"/>
        <c:crosses val="autoZero"/>
        <c:crossBetween val="midCat"/>
      </c:valAx>
      <c:valAx>
        <c:axId val="657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64096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Adult Population</a:t>
            </a:r>
          </a:p>
        </c:rich>
      </c:tx>
      <c:layout>
        <c:manualLayout>
          <c:xMode val="edge"/>
          <c:yMode val="edge"/>
          <c:x val="0.38736950904392758"/>
          <c:y val="2.3148193919706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'1'!$Q$9:$Q$29</c:f>
              <c:numCache>
                <c:formatCode>0.000</c:formatCode>
                <c:ptCount val="21"/>
                <c:pt idx="0">
                  <c:v>26.731649279999999</c:v>
                </c:pt>
                <c:pt idx="1">
                  <c:v>29.796977939999998</c:v>
                </c:pt>
                <c:pt idx="2">
                  <c:v>33.44025456</c:v>
                </c:pt>
                <c:pt idx="3">
                  <c:v>35.206953920000004</c:v>
                </c:pt>
                <c:pt idx="4">
                  <c:v>38.173985279999997</c:v>
                </c:pt>
                <c:pt idx="5">
                  <c:v>39.945798969999998</c:v>
                </c:pt>
                <c:pt idx="6">
                  <c:v>41.47663962</c:v>
                </c:pt>
                <c:pt idx="7">
                  <c:v>42.758892199999998</c:v>
                </c:pt>
                <c:pt idx="8">
                  <c:v>44.325362699999999</c:v>
                </c:pt>
                <c:pt idx="9">
                  <c:v>45.086265000000004</c:v>
                </c:pt>
                <c:pt idx="10">
                  <c:v>45.589638250000007</c:v>
                </c:pt>
                <c:pt idx="11">
                  <c:v>45.330290639999994</c:v>
                </c:pt>
                <c:pt idx="12">
                  <c:v>44.880675490000002</c:v>
                </c:pt>
                <c:pt idx="13">
                  <c:v>45.344676299999996</c:v>
                </c:pt>
                <c:pt idx="14">
                  <c:v>44.583392500000002</c:v>
                </c:pt>
                <c:pt idx="15">
                  <c:v>43.697542049999996</c:v>
                </c:pt>
                <c:pt idx="16">
                  <c:v>43.712849849999998</c:v>
                </c:pt>
                <c:pt idx="17">
                  <c:v>42.643012589999998</c:v>
                </c:pt>
                <c:pt idx="18">
                  <c:v>41.555950200000005</c:v>
                </c:pt>
                <c:pt idx="19">
                  <c:v>40.473975570000007</c:v>
                </c:pt>
                <c:pt idx="20">
                  <c:v>39.429266519999999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72-42E9-91E3-26E9A4514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62592"/>
        <c:axId val="39463168"/>
      </c:scatterChart>
      <c:valAx>
        <c:axId val="3946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3168"/>
        <c:crosses val="autoZero"/>
        <c:crossBetween val="midCat"/>
      </c:valAx>
      <c:valAx>
        <c:axId val="39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2592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skilled labor</a:t>
            </a:r>
            <a:endParaRPr lang="en-US" b="1"/>
          </a:p>
        </c:rich>
      </c:tx>
      <c:layout>
        <c:manualLayout>
          <c:xMode val="edge"/>
          <c:yMode val="edge"/>
          <c:x val="0.32340408776390311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'1'!$BD$2:$BD$7</c:f>
              <c:numCache>
                <c:formatCode>General</c:formatCode>
                <c:ptCount val="6"/>
                <c:pt idx="0">
                  <c:v>8.7775564799999994</c:v>
                </c:pt>
                <c:pt idx="1">
                  <c:v>18.584703359999999</c:v>
                </c:pt>
                <c:pt idx="2">
                  <c:v>29.003015099999999</c:v>
                </c:pt>
                <c:pt idx="3">
                  <c:v>35.68824798</c:v>
                </c:pt>
                <c:pt idx="4">
                  <c:v>38.185937799999998</c:v>
                </c:pt>
                <c:pt idx="5">
                  <c:v>37.163216720000001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E-46E2-BA56-E2ED6468F155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'1'!$BD$8:$BD$13</c:f>
              <c:numCache>
                <c:formatCode>General</c:formatCode>
                <c:ptCount val="6"/>
                <c:pt idx="0">
                  <c:v>7.95740947</c:v>
                </c:pt>
                <c:pt idx="1">
                  <c:v>17.134755330000001</c:v>
                </c:pt>
                <c:pt idx="2">
                  <c:v>27.113838600000001</c:v>
                </c:pt>
                <c:pt idx="3">
                  <c:v>33.592890099999998</c:v>
                </c:pt>
                <c:pt idx="4">
                  <c:v>35.372174370000003</c:v>
                </c:pt>
                <c:pt idx="5">
                  <c:v>33.884356609999998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4E-46E2-BA56-E2ED6468F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64896"/>
        <c:axId val="39465472"/>
      </c:scatterChart>
      <c:valAx>
        <c:axId val="3946489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5472"/>
        <c:crosses val="autoZero"/>
        <c:crossBetween val="midCat"/>
        <c:majorUnit val="20"/>
      </c:valAx>
      <c:valAx>
        <c:axId val="394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489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unskilled labor</a:t>
            </a:r>
            <a:endParaRPr lang="en-US" b="1"/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'1'!$BE$2:$BE$7</c:f>
              <c:numCache>
                <c:formatCode>General</c:formatCode>
                <c:ptCount val="6"/>
                <c:pt idx="0">
                  <c:v>17.954092799999998</c:v>
                </c:pt>
                <c:pt idx="1">
                  <c:v>19.589281920000001</c:v>
                </c:pt>
                <c:pt idx="2">
                  <c:v>15.322347600000001</c:v>
                </c:pt>
                <c:pt idx="3">
                  <c:v>9.1924275099999999</c:v>
                </c:pt>
                <c:pt idx="4">
                  <c:v>5.5269120499999991</c:v>
                </c:pt>
                <c:pt idx="5">
                  <c:v>2.2660498000000002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18-4C44-AB0E-55C8A556B565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'1'!$BE$8:$BE$13</c:f>
              <c:numCache>
                <c:formatCode>General</c:formatCode>
                <c:ptCount val="6"/>
                <c:pt idx="0">
                  <c:v>18.772590529999999</c:v>
                </c:pt>
                <c:pt idx="1">
                  <c:v>19.458579740000001</c:v>
                </c:pt>
                <c:pt idx="2">
                  <c:v>14.82193717</c:v>
                </c:pt>
                <c:pt idx="3">
                  <c:v>8.8397922900000001</c:v>
                </c:pt>
                <c:pt idx="4">
                  <c:v>4.48061036</c:v>
                </c:pt>
                <c:pt idx="5">
                  <c:v>2.0661193099999999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518-4C44-AB0E-55C8A556B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67776"/>
        <c:axId val="39468352"/>
      </c:scatterChart>
      <c:valAx>
        <c:axId val="3946777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8352"/>
        <c:crosses val="autoZero"/>
        <c:crossBetween val="midCat"/>
        <c:majorUnit val="20"/>
      </c:valAx>
      <c:valAx>
        <c:axId val="3946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777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'1'!$BF$2:$BF$7</c:f>
              <c:numCache>
                <c:formatCode>General</c:formatCode>
                <c:ptCount val="6"/>
                <c:pt idx="0">
                  <c:v>0.48888888888888893</c:v>
                </c:pt>
                <c:pt idx="1">
                  <c:v>0.94871794871794857</c:v>
                </c:pt>
                <c:pt idx="2">
                  <c:v>1.8928571428571428</c:v>
                </c:pt>
                <c:pt idx="3">
                  <c:v>3.8823529411764706</c:v>
                </c:pt>
                <c:pt idx="4">
                  <c:v>6.9090909090909101</c:v>
                </c:pt>
                <c:pt idx="5">
                  <c:v>16.399999999999999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E6E-4B0A-A104-2DAEE9B55447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6E-4B0A-A104-2DAEE9B55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4304"/>
        <c:axId val="43034880"/>
      </c:scatterChart>
      <c:valAx>
        <c:axId val="4303430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34880"/>
        <c:crosses val="autoZero"/>
        <c:crossBetween val="midCat"/>
        <c:majorUnit val="20"/>
      </c:valAx>
      <c:valAx>
        <c:axId val="430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3430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7666870167993474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'1'!$BF$14:$BF$19</c:f>
              <c:numCache>
                <c:formatCode>0.00%</c:formatCode>
                <c:ptCount val="6"/>
                <c:pt idx="0">
                  <c:v>0</c:v>
                </c:pt>
                <c:pt idx="1">
                  <c:v>-2.3787094480456648E-2</c:v>
                </c:pt>
                <c:pt idx="2">
                  <c:v>-3.0940968667626613E-2</c:v>
                </c:pt>
                <c:pt idx="3">
                  <c:v>-3.0631612986602278E-2</c:v>
                </c:pt>
                <c:pt idx="4">
                  <c:v>-2.7876592814877369E-2</c:v>
                </c:pt>
                <c:pt idx="5">
                  <c:v>-2.484567228219435E-2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355-4245-AAD4-E4BE508FA2EB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'1'!$BF$20:$BF$25</c:f>
              <c:numCache>
                <c:formatCode>0.00%</c:formatCode>
                <c:ptCount val="6"/>
                <c:pt idx="0">
                  <c:v>0</c:v>
                </c:pt>
                <c:pt idx="1">
                  <c:v>-2.4143011375455617E-2</c:v>
                </c:pt>
                <c:pt idx="2">
                  <c:v>-3.8336577603268918E-2</c:v>
                </c:pt>
                <c:pt idx="3">
                  <c:v>-4.9477157345523472E-2</c:v>
                </c:pt>
                <c:pt idx="4">
                  <c:v>-5.3769848679184537E-2</c:v>
                </c:pt>
                <c:pt idx="5">
                  <c:v>-5.5148889787569405E-2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355-4245-AAD4-E4BE508FA2EB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'1'!$BF$26:$BF$31</c:f>
              <c:numCache>
                <c:formatCode>0.00%</c:formatCode>
                <c:ptCount val="6"/>
                <c:pt idx="0">
                  <c:v>0</c:v>
                </c:pt>
                <c:pt idx="1">
                  <c:v>-2.3427955776926055E-2</c:v>
                </c:pt>
                <c:pt idx="2">
                  <c:v>-3.5889643665848937E-2</c:v>
                </c:pt>
                <c:pt idx="3">
                  <c:v>-5.1142466056612455E-2</c:v>
                </c:pt>
                <c:pt idx="4">
                  <c:v>-6.945284029424105E-2</c:v>
                </c:pt>
                <c:pt idx="5">
                  <c:v>-0.13961871870585268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355-4245-AAD4-E4BE508FA2EB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'1'!$BF$32:$BF$37</c:f>
              <c:numCache>
                <c:formatCode>0.00%</c:formatCode>
                <c:ptCount val="6"/>
                <c:pt idx="0">
                  <c:v>0</c:v>
                </c:pt>
                <c:pt idx="1">
                  <c:v>-2.9482923454533357E-2</c:v>
                </c:pt>
                <c:pt idx="2">
                  <c:v>-4.9895279897331259E-2</c:v>
                </c:pt>
                <c:pt idx="3">
                  <c:v>-8.0478937288964478E-2</c:v>
                </c:pt>
                <c:pt idx="4">
                  <c:v>-0.11821928019784184</c:v>
                </c:pt>
                <c:pt idx="5">
                  <c:v>-0.16266076573686036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355-4245-AAD4-E4BE508FA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7184"/>
        <c:axId val="43037760"/>
      </c:scatterChart>
      <c:valAx>
        <c:axId val="4303718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37760"/>
        <c:crosses val="autoZero"/>
        <c:crossBetween val="midCat"/>
        <c:majorUnit val="20"/>
      </c:valAx>
      <c:valAx>
        <c:axId val="430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3718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 population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'1'!$BG$14:$BG$19</c:f>
              <c:numCache>
                <c:formatCode>0.00%</c:formatCode>
                <c:ptCount val="6"/>
                <c:pt idx="0">
                  <c:v>0</c:v>
                </c:pt>
                <c:pt idx="1">
                  <c:v>6.5795623585396066E-3</c:v>
                </c:pt>
                <c:pt idx="2">
                  <c:v>1.3258302482572631E-2</c:v>
                </c:pt>
                <c:pt idx="3">
                  <c:v>1.750771005170014E-2</c:v>
                </c:pt>
                <c:pt idx="4">
                  <c:v>1.9685326014606878E-2</c:v>
                </c:pt>
                <c:pt idx="5">
                  <c:v>2.0696870652164658E-2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A66-4ED1-9893-FF9267C201DD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'1'!$BG$20:$BG$25</c:f>
              <c:numCache>
                <c:formatCode>0.00%</c:formatCode>
                <c:ptCount val="6"/>
                <c:pt idx="0">
                  <c:v>0</c:v>
                </c:pt>
                <c:pt idx="1">
                  <c:v>6.6798005574625801E-3</c:v>
                </c:pt>
                <c:pt idx="2">
                  <c:v>1.5009863975147853E-2</c:v>
                </c:pt>
                <c:pt idx="3">
                  <c:v>2.2011071593723078E-2</c:v>
                </c:pt>
                <c:pt idx="4">
                  <c:v>2.634081927052322E-2</c:v>
                </c:pt>
                <c:pt idx="5">
                  <c:v>2.8671818206071807E-2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A66-4ED1-9893-FF9267C201DD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'1'!$BG$26:$BG$31</c:f>
              <c:numCache>
                <c:formatCode>0.00%</c:formatCode>
                <c:ptCount val="6"/>
                <c:pt idx="0">
                  <c:v>0</c:v>
                </c:pt>
                <c:pt idx="1">
                  <c:v>6.4784709987900212E-3</c:v>
                </c:pt>
                <c:pt idx="2">
                  <c:v>1.425845162086533E-2</c:v>
                </c:pt>
                <c:pt idx="3">
                  <c:v>2.150163809146843E-2</c:v>
                </c:pt>
                <c:pt idx="4">
                  <c:v>2.7181851088677895E-2</c:v>
                </c:pt>
                <c:pt idx="5">
                  <c:v>3.3655412036614971E-2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A66-4ED1-9893-FF9267C201DD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'1'!$BG$32:$BG$37</c:f>
              <c:numCache>
                <c:formatCode>0.00%</c:formatCode>
                <c:ptCount val="6"/>
                <c:pt idx="0">
                  <c:v>0</c:v>
                </c:pt>
                <c:pt idx="1">
                  <c:v>8.1901796987535313E-3</c:v>
                </c:pt>
                <c:pt idx="2">
                  <c:v>1.9160203555237693E-2</c:v>
                </c:pt>
                <c:pt idx="3">
                  <c:v>3.0949007369599945E-2</c:v>
                </c:pt>
                <c:pt idx="4">
                  <c:v>4.1223707229755602E-2</c:v>
                </c:pt>
                <c:pt idx="5">
                  <c:v>4.907447717593387E-2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A66-4ED1-9893-FF9267C2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40064"/>
        <c:axId val="42762240"/>
      </c:scatterChart>
      <c:valAx>
        <c:axId val="4304006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2240"/>
        <c:crosses val="autoZero"/>
        <c:crossBetween val="midCat"/>
        <c:majorUnit val="20"/>
      </c:valAx>
      <c:valAx>
        <c:axId val="4276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4006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Temperature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'1'!$AZ$14:$AZ$19</c:f>
              <c:numCache>
                <c:formatCode>0.00%</c:formatCode>
                <c:ptCount val="6"/>
                <c:pt idx="0">
                  <c:v>0</c:v>
                </c:pt>
                <c:pt idx="1">
                  <c:v>3.1339570771755199E-2</c:v>
                </c:pt>
                <c:pt idx="2">
                  <c:v>3.910489107902991E-2</c:v>
                </c:pt>
                <c:pt idx="3">
                  <c:v>3.8763291883965344E-2</c:v>
                </c:pt>
                <c:pt idx="4">
                  <c:v>3.5834419300586881E-2</c:v>
                </c:pt>
                <c:pt idx="5">
                  <c:v>3.2562177449192549E-2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D6F-4036-BE01-F4C907BDC70E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'1'!$AZ$20:$AZ$25</c:f>
              <c:numCache>
                <c:formatCode>0.00%</c:formatCode>
                <c:ptCount val="6"/>
                <c:pt idx="0">
                  <c:v>0</c:v>
                </c:pt>
                <c:pt idx="1">
                  <c:v>3.166221118096392E-2</c:v>
                </c:pt>
                <c:pt idx="2">
                  <c:v>4.6572225618782333E-2</c:v>
                </c:pt>
                <c:pt idx="3">
                  <c:v>5.6893170943249291E-2</c:v>
                </c:pt>
                <c:pt idx="4">
                  <c:v>6.061680149608796E-2</c:v>
                </c:pt>
                <c:pt idx="5">
                  <c:v>6.1800885393221927E-2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D6F-4036-BE01-F4C907BDC70E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'1'!$AZ$26:$AZ$31</c:f>
              <c:numCache>
                <c:formatCode>0.00%</c:formatCode>
                <c:ptCount val="6"/>
                <c:pt idx="0">
                  <c:v>0</c:v>
                </c:pt>
                <c:pt idx="1">
                  <c:v>3.0909995425370273E-2</c:v>
                </c:pt>
                <c:pt idx="2">
                  <c:v>4.4155820089989868E-2</c:v>
                </c:pt>
                <c:pt idx="3">
                  <c:v>5.8394395398275345E-2</c:v>
                </c:pt>
                <c:pt idx="4">
                  <c:v>7.3230797848939877E-2</c:v>
                </c:pt>
                <c:pt idx="5">
                  <c:v>0.11591385919436654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6F-4036-BE01-F4C907BDC70E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'1'!$AZ$32:$AZ$37</c:f>
              <c:numCache>
                <c:formatCode>0.00%</c:formatCode>
                <c:ptCount val="6"/>
                <c:pt idx="0">
                  <c:v>0</c:v>
                </c:pt>
                <c:pt idx="1">
                  <c:v>3.7600311570306827E-2</c:v>
                </c:pt>
                <c:pt idx="2">
                  <c:v>5.7260954926849399E-2</c:v>
                </c:pt>
                <c:pt idx="3">
                  <c:v>8.1284906308559557E-2</c:v>
                </c:pt>
                <c:pt idx="4">
                  <c:v>0.10475381408611782</c:v>
                </c:pt>
                <c:pt idx="5">
                  <c:v>0.12664790431458131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D6F-4036-BE01-F4C907BD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4544"/>
        <c:axId val="42765120"/>
      </c:scatterChart>
      <c:valAx>
        <c:axId val="4276454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5120"/>
        <c:crosses val="autoZero"/>
        <c:crossBetween val="midCat"/>
        <c:majorUnit val="20"/>
      </c:valAx>
      <c:valAx>
        <c:axId val="42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454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GDP per capita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'1'!$AW$14:$AW$18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'1'!$BI$14:$BI$18</c:f>
              <c:numCache>
                <c:formatCode>0.00%</c:formatCode>
                <c:ptCount val="5"/>
                <c:pt idx="0">
                  <c:v>-3.7878003697115257E-3</c:v>
                </c:pt>
                <c:pt idx="1">
                  <c:v>-6.723854174592854E-2</c:v>
                </c:pt>
                <c:pt idx="2">
                  <c:v>-0.90745736224262707</c:v>
                </c:pt>
                <c:pt idx="3">
                  <c:v>-6.6672572483791923E-2</c:v>
                </c:pt>
                <c:pt idx="4">
                  <c:v>-5.7260368460429839E-2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2CB-4751-ABE6-310498D19933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'1'!$AW$20:$AW$24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'1'!$BI$20:$BI$24</c:f>
              <c:numCache>
                <c:formatCode>0.00%</c:formatCode>
                <c:ptCount val="5"/>
                <c:pt idx="0">
                  <c:v>-3.8452850101144374E-3</c:v>
                </c:pt>
                <c:pt idx="1">
                  <c:v>-6.89241001668741E-2</c:v>
                </c:pt>
                <c:pt idx="2">
                  <c:v>-9.0950283750867139E-2</c:v>
                </c:pt>
                <c:pt idx="3">
                  <c:v>-0.91014544679947251</c:v>
                </c:pt>
                <c:pt idx="4">
                  <c:v>-0.10105359348639387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2CB-4751-ABE6-310498D19933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'1'!$AW$26:$AW$30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'1'!$BI$26:$BI$30</c:f>
              <c:numCache>
                <c:formatCode>0.00%</c:formatCode>
                <c:ptCount val="5"/>
                <c:pt idx="0">
                  <c:v>-3.7298203785381396E-3</c:v>
                </c:pt>
                <c:pt idx="1">
                  <c:v>-0.90668990788225157</c:v>
                </c:pt>
                <c:pt idx="2">
                  <c:v>-8.6131290385467671E-2</c:v>
                </c:pt>
                <c:pt idx="3">
                  <c:v>-0.10484397626954915</c:v>
                </c:pt>
                <c:pt idx="4">
                  <c:v>-0.12591911808378561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2CB-4751-ABE6-310498D19933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'1'!$AW$32:$AW$36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'1'!$BI$32:$BI$36</c:f>
              <c:numCache>
                <c:formatCode>0.00%</c:formatCode>
                <c:ptCount val="5"/>
                <c:pt idx="0">
                  <c:v>-4.7106519193259077E-3</c:v>
                </c:pt>
                <c:pt idx="1">
                  <c:v>-8.3054436145692426E-2</c:v>
                </c:pt>
                <c:pt idx="2">
                  <c:v>-0.11542857082147764</c:v>
                </c:pt>
                <c:pt idx="3">
                  <c:v>-0.15254437243144936</c:v>
                </c:pt>
                <c:pt idx="4">
                  <c:v>-0.18832580085245884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2CB-4751-ABE6-310498D19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7424"/>
        <c:axId val="42768000"/>
      </c:scatterChart>
      <c:valAx>
        <c:axId val="42767424"/>
        <c:scaling>
          <c:orientation val="minMax"/>
          <c:max val="208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8000"/>
        <c:crosses val="autoZero"/>
        <c:crossBetween val="midCat"/>
        <c:majorUnit val="20"/>
      </c:valAx>
      <c:valAx>
        <c:axId val="4276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742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010829701944691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Adults population</a:t>
            </a:r>
          </a:p>
        </c:rich>
      </c:tx>
      <c:layout>
        <c:manualLayout>
          <c:xMode val="edge"/>
          <c:yMode val="edge"/>
          <c:x val="0.36780270454367309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'1'!$BG$2:$BG$7</c:f>
              <c:numCache>
                <c:formatCode>General</c:formatCode>
                <c:ptCount val="6"/>
                <c:pt idx="0">
                  <c:v>26.731649279999999</c:v>
                </c:pt>
                <c:pt idx="1">
                  <c:v>38.173985279999997</c:v>
                </c:pt>
                <c:pt idx="2">
                  <c:v>44.325362699999999</c:v>
                </c:pt>
                <c:pt idx="3">
                  <c:v>44.880675490000002</c:v>
                </c:pt>
                <c:pt idx="4">
                  <c:v>43.712849849999998</c:v>
                </c:pt>
                <c:pt idx="5">
                  <c:v>39.429266519999999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AD-4034-BB6D-0E0224EC884F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AD-4034-BB6D-0E0224EC8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7040"/>
        <c:axId val="42967616"/>
      </c:scatterChart>
      <c:valAx>
        <c:axId val="42967040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7616"/>
        <c:crosses val="autoZero"/>
        <c:crossBetween val="midCat"/>
        <c:majorUnit val="20"/>
      </c:valAx>
      <c:valAx>
        <c:axId val="4296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704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layout>
        <c:manualLayout>
          <c:xMode val="edge"/>
          <c:yMode val="edge"/>
          <c:x val="0.48701366268083851"/>
          <c:y val="2.634566362657905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'2'!$R$9:$R$29</c:f>
              <c:numCache>
                <c:formatCode>0.00</c:formatCode>
                <c:ptCount val="21"/>
                <c:pt idx="0">
                  <c:v>0.48888888888888893</c:v>
                </c:pt>
                <c:pt idx="1">
                  <c:v>0.56818181818181823</c:v>
                </c:pt>
                <c:pt idx="2">
                  <c:v>0.67441860465116299</c:v>
                </c:pt>
                <c:pt idx="3">
                  <c:v>0.82500000000000007</c:v>
                </c:pt>
                <c:pt idx="4">
                  <c:v>0.94871794871794857</c:v>
                </c:pt>
                <c:pt idx="5">
                  <c:v>1.1388888888888888</c:v>
                </c:pt>
                <c:pt idx="6">
                  <c:v>1.3636363636363635</c:v>
                </c:pt>
                <c:pt idx="7">
                  <c:v>1.6333333333333333</c:v>
                </c:pt>
                <c:pt idx="8">
                  <c:v>1.8928571428571428</c:v>
                </c:pt>
                <c:pt idx="9">
                  <c:v>2.1538461538461542</c:v>
                </c:pt>
                <c:pt idx="10">
                  <c:v>2.6086956521739135</c:v>
                </c:pt>
                <c:pt idx="11">
                  <c:v>3.149999999999999</c:v>
                </c:pt>
                <c:pt idx="12">
                  <c:v>3.8823529411764706</c:v>
                </c:pt>
                <c:pt idx="13">
                  <c:v>4.3125</c:v>
                </c:pt>
                <c:pt idx="14">
                  <c:v>5.5384615384615383</c:v>
                </c:pt>
                <c:pt idx="15">
                  <c:v>6.7272727272727284</c:v>
                </c:pt>
                <c:pt idx="16">
                  <c:v>6.9090909090909101</c:v>
                </c:pt>
                <c:pt idx="17">
                  <c:v>8.6666666666666661</c:v>
                </c:pt>
                <c:pt idx="18">
                  <c:v>9.875</c:v>
                </c:pt>
                <c:pt idx="19">
                  <c:v>13.500000000000002</c:v>
                </c:pt>
                <c:pt idx="20">
                  <c:v>16.399999999999999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8D-4707-AF19-049A89DC5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920"/>
        <c:axId val="42970496"/>
      </c:scatterChart>
      <c:valAx>
        <c:axId val="4296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70496"/>
        <c:crosses val="autoZero"/>
        <c:crossBetween val="midCat"/>
      </c:valAx>
      <c:valAx>
        <c:axId val="4297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920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Adult Population</a:t>
            </a:r>
          </a:p>
        </c:rich>
      </c:tx>
      <c:layout>
        <c:manualLayout>
          <c:xMode val="edge"/>
          <c:yMode val="edge"/>
          <c:x val="0.38736950904392758"/>
          <c:y val="2.3148193919706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'2'!$Q$9:$Q$29</c:f>
              <c:numCache>
                <c:formatCode>0.000</c:formatCode>
                <c:ptCount val="21"/>
                <c:pt idx="0">
                  <c:v>26.731649279999999</c:v>
                </c:pt>
                <c:pt idx="1">
                  <c:v>29.796977939999998</c:v>
                </c:pt>
                <c:pt idx="2">
                  <c:v>33.44025456</c:v>
                </c:pt>
                <c:pt idx="3">
                  <c:v>35.206953920000004</c:v>
                </c:pt>
                <c:pt idx="4">
                  <c:v>38.173985279999997</c:v>
                </c:pt>
                <c:pt idx="5">
                  <c:v>39.945798969999998</c:v>
                </c:pt>
                <c:pt idx="6">
                  <c:v>41.47663962</c:v>
                </c:pt>
                <c:pt idx="7">
                  <c:v>42.758892199999998</c:v>
                </c:pt>
                <c:pt idx="8">
                  <c:v>44.325362699999999</c:v>
                </c:pt>
                <c:pt idx="9">
                  <c:v>45.086265000000004</c:v>
                </c:pt>
                <c:pt idx="10">
                  <c:v>45.589638250000007</c:v>
                </c:pt>
                <c:pt idx="11">
                  <c:v>45.330290639999994</c:v>
                </c:pt>
                <c:pt idx="12">
                  <c:v>44.880675490000002</c:v>
                </c:pt>
                <c:pt idx="13">
                  <c:v>45.344676299999996</c:v>
                </c:pt>
                <c:pt idx="14">
                  <c:v>44.583392500000002</c:v>
                </c:pt>
                <c:pt idx="15">
                  <c:v>43.697542049999996</c:v>
                </c:pt>
                <c:pt idx="16">
                  <c:v>43.712849849999998</c:v>
                </c:pt>
                <c:pt idx="17">
                  <c:v>42.643012589999998</c:v>
                </c:pt>
                <c:pt idx="18">
                  <c:v>41.555950200000005</c:v>
                </c:pt>
                <c:pt idx="19">
                  <c:v>40.473975570000007</c:v>
                </c:pt>
                <c:pt idx="20">
                  <c:v>39.429266519999999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FE-4297-8B2A-8FEC922F6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2224"/>
        <c:axId val="42972800"/>
      </c:scatterChart>
      <c:valAx>
        <c:axId val="4297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72800"/>
        <c:crosses val="autoZero"/>
        <c:crossBetween val="midCat"/>
      </c:valAx>
      <c:valAx>
        <c:axId val="4297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72224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skilled labor</a:t>
            </a:r>
            <a:endParaRPr lang="en-US" b="1"/>
          </a:p>
        </c:rich>
      </c:tx>
      <c:layout>
        <c:manualLayout>
          <c:xMode val="edge"/>
          <c:yMode val="edge"/>
          <c:x val="0.32340408776390311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'2'!$BD$2:$BD$7</c:f>
              <c:numCache>
                <c:formatCode>General</c:formatCode>
                <c:ptCount val="6"/>
                <c:pt idx="0">
                  <c:v>8.7775564799999994</c:v>
                </c:pt>
                <c:pt idx="1">
                  <c:v>18.584703359999999</c:v>
                </c:pt>
                <c:pt idx="2">
                  <c:v>29.003015099999999</c:v>
                </c:pt>
                <c:pt idx="3">
                  <c:v>35.68824798</c:v>
                </c:pt>
                <c:pt idx="4">
                  <c:v>38.185937799999998</c:v>
                </c:pt>
                <c:pt idx="5">
                  <c:v>37.163216720000001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794-4475-ADAD-B27BF88A4DD3}"/>
            </c:ext>
          </c:extLst>
        </c:ser>
        <c:ser>
          <c:idx val="1"/>
          <c:order val="1"/>
          <c:tx>
            <c:strRef>
              <c:f>'2'!$AV$8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'2'!$BD$8:$BD$13</c:f>
              <c:numCache>
                <c:formatCode>General</c:formatCode>
                <c:ptCount val="6"/>
                <c:pt idx="0">
                  <c:v>7.95740947</c:v>
                </c:pt>
                <c:pt idx="1">
                  <c:v>17.134755330000001</c:v>
                </c:pt>
                <c:pt idx="2">
                  <c:v>27.113838600000001</c:v>
                </c:pt>
                <c:pt idx="3">
                  <c:v>33.592890099999998</c:v>
                </c:pt>
                <c:pt idx="4">
                  <c:v>35.372174370000003</c:v>
                </c:pt>
                <c:pt idx="5">
                  <c:v>33.884356609999998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94-4475-ADAD-B27BF88A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4528"/>
        <c:axId val="43491328"/>
      </c:scatterChart>
      <c:valAx>
        <c:axId val="4297452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1328"/>
        <c:crosses val="autoZero"/>
        <c:crossBetween val="midCat"/>
        <c:majorUnit val="20"/>
      </c:valAx>
      <c:valAx>
        <c:axId val="4349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7452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unskilled labor</a:t>
            </a:r>
            <a:endParaRPr lang="en-US" b="1"/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'2'!$BE$2:$BE$7</c:f>
              <c:numCache>
                <c:formatCode>General</c:formatCode>
                <c:ptCount val="6"/>
                <c:pt idx="0">
                  <c:v>17.954092799999998</c:v>
                </c:pt>
                <c:pt idx="1">
                  <c:v>19.589281920000001</c:v>
                </c:pt>
                <c:pt idx="2">
                  <c:v>15.322347600000001</c:v>
                </c:pt>
                <c:pt idx="3">
                  <c:v>9.1924275099999999</c:v>
                </c:pt>
                <c:pt idx="4">
                  <c:v>5.5269120499999991</c:v>
                </c:pt>
                <c:pt idx="5">
                  <c:v>2.2660498000000002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38-459D-8AAA-F6AF9BDE738A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'2'!$BE$8:$BE$13</c:f>
              <c:numCache>
                <c:formatCode>General</c:formatCode>
                <c:ptCount val="6"/>
                <c:pt idx="0">
                  <c:v>18.772590529999999</c:v>
                </c:pt>
                <c:pt idx="1">
                  <c:v>19.458579740000001</c:v>
                </c:pt>
                <c:pt idx="2">
                  <c:v>14.82193717</c:v>
                </c:pt>
                <c:pt idx="3">
                  <c:v>8.8397922900000001</c:v>
                </c:pt>
                <c:pt idx="4">
                  <c:v>4.48061036</c:v>
                </c:pt>
                <c:pt idx="5">
                  <c:v>2.0661193099999999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838-459D-8AAA-F6AF9BDE7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3632"/>
        <c:axId val="43494208"/>
      </c:scatterChart>
      <c:valAx>
        <c:axId val="43493632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4208"/>
        <c:crosses val="autoZero"/>
        <c:crossBetween val="midCat"/>
        <c:majorUnit val="20"/>
      </c:valAx>
      <c:valAx>
        <c:axId val="4349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3632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'2'!$BF$2:$BF$7</c:f>
              <c:numCache>
                <c:formatCode>General</c:formatCode>
                <c:ptCount val="6"/>
                <c:pt idx="0">
                  <c:v>0.48888888888888893</c:v>
                </c:pt>
                <c:pt idx="1">
                  <c:v>0.94871794871794857</c:v>
                </c:pt>
                <c:pt idx="2">
                  <c:v>1.8928571428571428</c:v>
                </c:pt>
                <c:pt idx="3">
                  <c:v>3.8823529411764706</c:v>
                </c:pt>
                <c:pt idx="4">
                  <c:v>6.9090909090909101</c:v>
                </c:pt>
                <c:pt idx="5">
                  <c:v>16.399999999999999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B59-49B5-9152-8BD0EFBEFBBB}"/>
            </c:ext>
          </c:extLst>
        </c:ser>
        <c:ser>
          <c:idx val="1"/>
          <c:order val="1"/>
          <c:tx>
            <c:strRef>
              <c:f>'2'!$AV$8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B59-49B5-9152-8BD0EFBE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5936"/>
        <c:axId val="43496512"/>
      </c:scatterChart>
      <c:valAx>
        <c:axId val="4349593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6512"/>
        <c:crosses val="autoZero"/>
        <c:crossBetween val="midCat"/>
        <c:majorUnit val="20"/>
      </c:valAx>
      <c:valAx>
        <c:axId val="4349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593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7666870167993474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'2'!$BF$14:$BF$19</c:f>
              <c:numCache>
                <c:formatCode>0.00%</c:formatCode>
                <c:ptCount val="6"/>
                <c:pt idx="0">
                  <c:v>0</c:v>
                </c:pt>
                <c:pt idx="1">
                  <c:v>1.2043571483361545E-2</c:v>
                </c:pt>
                <c:pt idx="2">
                  <c:v>1.4043675805798163E-2</c:v>
                </c:pt>
                <c:pt idx="3">
                  <c:v>1.3968217384521423E-2</c:v>
                </c:pt>
                <c:pt idx="4">
                  <c:v>1.3253919366400916E-2</c:v>
                </c:pt>
                <c:pt idx="5">
                  <c:v>1.2375044621549768E-2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4B-4E67-80CE-A88513F9E694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'2'!$BF$20:$BF$25</c:f>
              <c:numCache>
                <c:formatCode>0.00%</c:formatCode>
                <c:ptCount val="6"/>
                <c:pt idx="0">
                  <c:v>0</c:v>
                </c:pt>
                <c:pt idx="1">
                  <c:v>1.2156487032956107E-2</c:v>
                </c:pt>
                <c:pt idx="2">
                  <c:v>1.5587430484403421E-2</c:v>
                </c:pt>
                <c:pt idx="3">
                  <c:v>1.7106465340924595E-2</c:v>
                </c:pt>
                <c:pt idx="4">
                  <c:v>1.7476556831203104E-2</c:v>
                </c:pt>
                <c:pt idx="5">
                  <c:v>1.7573129923837662E-2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14B-4E67-80CE-A88513F9E694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'2'!$BF$26:$BF$31</c:f>
              <c:numCache>
                <c:formatCode>0.00%</c:formatCode>
                <c:ptCount val="6"/>
                <c:pt idx="0">
                  <c:v>0</c:v>
                </c:pt>
                <c:pt idx="1">
                  <c:v>1.1928104185361806E-2</c:v>
                </c:pt>
                <c:pt idx="2">
                  <c:v>1.5129438370868149E-2</c:v>
                </c:pt>
                <c:pt idx="3">
                  <c:v>1.7262895714664245E-2</c:v>
                </c:pt>
                <c:pt idx="4">
                  <c:v>1.8017988030094665E-2</c:v>
                </c:pt>
                <c:pt idx="5">
                  <c:v>1.1155211439870728E-2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14B-4E67-80CE-A88513F9E694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'2'!$BF$32:$BF$37</c:f>
              <c:numCache>
                <c:formatCode>0.00%</c:formatCode>
                <c:ptCount val="6"/>
                <c:pt idx="0">
                  <c:v>0</c:v>
                </c:pt>
                <c:pt idx="1">
                  <c:v>1.3679764975506993E-2</c:v>
                </c:pt>
                <c:pt idx="2">
                  <c:v>1.7147319290200858E-2</c:v>
                </c:pt>
                <c:pt idx="3">
                  <c:v>1.7779988863593936E-2</c:v>
                </c:pt>
                <c:pt idx="4">
                  <c:v>1.4335359817174152E-2</c:v>
                </c:pt>
                <c:pt idx="5">
                  <c:v>7.0920098404246845E-3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14B-4E67-80CE-A88513F9E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8816"/>
        <c:axId val="44171264"/>
      </c:scatterChart>
      <c:valAx>
        <c:axId val="4349881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1264"/>
        <c:crosses val="autoZero"/>
        <c:crossBetween val="midCat"/>
        <c:majorUnit val="20"/>
      </c:valAx>
      <c:valAx>
        <c:axId val="441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881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 population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'2'!$BG$14:$BG$19</c:f>
              <c:numCache>
                <c:formatCode>0.00%</c:formatCode>
                <c:ptCount val="6"/>
                <c:pt idx="0">
                  <c:v>0</c:v>
                </c:pt>
                <c:pt idx="1">
                  <c:v>-3.2437330397171765E-3</c:v>
                </c:pt>
                <c:pt idx="2">
                  <c:v>-6.1314086905229076E-3</c:v>
                </c:pt>
                <c:pt idx="3">
                  <c:v>-7.9546976761371464E-3</c:v>
                </c:pt>
                <c:pt idx="4">
                  <c:v>-8.9246865033314245E-3</c:v>
                </c:pt>
                <c:pt idx="5">
                  <c:v>-9.3967025847370433E-3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C61-42A9-A4A6-C78DA9030CCA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'2'!$BG$20:$BG$25</c:f>
              <c:numCache>
                <c:formatCode>0.00%</c:formatCode>
                <c:ptCount val="6"/>
                <c:pt idx="0">
                  <c:v>0</c:v>
                </c:pt>
                <c:pt idx="1">
                  <c:v>-3.2738737743041317E-3</c:v>
                </c:pt>
                <c:pt idx="2">
                  <c:v>-6.4747048317212912E-3</c:v>
                </c:pt>
                <c:pt idx="3">
                  <c:v>-8.7004853147582481E-3</c:v>
                </c:pt>
                <c:pt idx="4">
                  <c:v>-9.9734388121890758E-3</c:v>
                </c:pt>
                <c:pt idx="5">
                  <c:v>-1.0639655810153196E-2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61-42A9-A4A6-C78DA9030CCA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'2'!$BG$26:$BG$31</c:f>
              <c:numCache>
                <c:formatCode>0.00%</c:formatCode>
                <c:ptCount val="6"/>
                <c:pt idx="0">
                  <c:v>0</c:v>
                </c:pt>
                <c:pt idx="1">
                  <c:v>-3.2129058413259358E-3</c:v>
                </c:pt>
                <c:pt idx="2">
                  <c:v>-6.3210813471974497E-3</c:v>
                </c:pt>
                <c:pt idx="3">
                  <c:v>-8.5672427365955893E-3</c:v>
                </c:pt>
                <c:pt idx="4">
                  <c:v>-9.8791372464276696E-3</c:v>
                </c:pt>
                <c:pt idx="5">
                  <c:v>-1.0304719493126372E-2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C61-42A9-A4A6-C78DA9030CCA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'2'!$BG$32:$BG$37</c:f>
              <c:numCache>
                <c:formatCode>0.00%</c:formatCode>
                <c:ptCount val="6"/>
                <c:pt idx="0">
                  <c:v>0</c:v>
                </c:pt>
                <c:pt idx="1">
                  <c:v>-3.6799980035271728E-3</c:v>
                </c:pt>
                <c:pt idx="2">
                  <c:v>-7.1950844943197848E-3</c:v>
                </c:pt>
                <c:pt idx="3">
                  <c:v>-9.5054054394413875E-3</c:v>
                </c:pt>
                <c:pt idx="4">
                  <c:v>-1.0551824241367238E-2</c:v>
                </c:pt>
                <c:pt idx="5">
                  <c:v>-1.0823278414056526E-2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C61-42A9-A4A6-C78DA9030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73568"/>
        <c:axId val="44174144"/>
      </c:scatterChart>
      <c:valAx>
        <c:axId val="4417356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4144"/>
        <c:crosses val="autoZero"/>
        <c:crossBetween val="midCat"/>
        <c:majorUnit val="20"/>
      </c:valAx>
      <c:valAx>
        <c:axId val="4417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356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Temperature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'2'!$AZ$14:$AZ$19</c:f>
              <c:numCache>
                <c:formatCode>0.00%</c:formatCode>
                <c:ptCount val="6"/>
                <c:pt idx="0">
                  <c:v>0</c:v>
                </c:pt>
                <c:pt idx="1">
                  <c:v>5.8145854438274566E-2</c:v>
                </c:pt>
                <c:pt idx="2">
                  <c:v>7.2553236962489193E-2</c:v>
                </c:pt>
                <c:pt idx="3">
                  <c:v>7.1919451094229744E-2</c:v>
                </c:pt>
                <c:pt idx="4">
                  <c:v>6.6485369046913975E-2</c:v>
                </c:pt>
                <c:pt idx="5">
                  <c:v>6.04142170275161E-2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6A7-439F-8498-DC3BEFA4AE58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'2'!$AZ$20:$AZ$25</c:f>
              <c:numCache>
                <c:formatCode>0.00%</c:formatCode>
                <c:ptCount val="6"/>
                <c:pt idx="0">
                  <c:v>0</c:v>
                </c:pt>
                <c:pt idx="1">
                  <c:v>5.8744465134202235E-2</c:v>
                </c:pt>
                <c:pt idx="2">
                  <c:v>8.6407751765916613E-2</c:v>
                </c:pt>
                <c:pt idx="3">
                  <c:v>0.10555671168219932</c:v>
                </c:pt>
                <c:pt idx="4">
                  <c:v>0.11246534746678395</c:v>
                </c:pt>
                <c:pt idx="5">
                  <c:v>0.11466223683795269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6A7-439F-8498-DC3BEFA4AE58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'2'!$AZ$26:$AZ$31</c:f>
              <c:numCache>
                <c:formatCode>0.00%</c:formatCode>
                <c:ptCount val="6"/>
                <c:pt idx="0">
                  <c:v>0</c:v>
                </c:pt>
                <c:pt idx="1">
                  <c:v>5.734884206873446E-2</c:v>
                </c:pt>
                <c:pt idx="2">
                  <c:v>8.1924475170832026E-2</c:v>
                </c:pt>
                <c:pt idx="3">
                  <c:v>0.10834200760334818</c:v>
                </c:pt>
                <c:pt idx="4">
                  <c:v>0.13586871827742952</c:v>
                </c:pt>
                <c:pt idx="5">
                  <c:v>0.21506071136649521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6A7-439F-8498-DC3BEFA4AE58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'2'!$AZ$32:$AZ$37</c:f>
              <c:numCache>
                <c:formatCode>0.00%</c:formatCode>
                <c:ptCount val="6"/>
                <c:pt idx="0">
                  <c:v>0</c:v>
                </c:pt>
                <c:pt idx="1">
                  <c:v>6.9761716244411354E-2</c:v>
                </c:pt>
                <c:pt idx="2">
                  <c:v>0.10623907948266743</c:v>
                </c:pt>
                <c:pt idx="3">
                  <c:v>0.15081190373245132</c:v>
                </c:pt>
                <c:pt idx="4">
                  <c:v>0.19435492815348321</c:v>
                </c:pt>
                <c:pt idx="5">
                  <c:v>0.23497611574900776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6A7-439F-8498-DC3BEFA4A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76448"/>
        <c:axId val="44177024"/>
      </c:scatterChart>
      <c:valAx>
        <c:axId val="4417644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7024"/>
        <c:crosses val="autoZero"/>
        <c:crossBetween val="midCat"/>
        <c:majorUnit val="20"/>
      </c:valAx>
      <c:valAx>
        <c:axId val="4417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644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GDP per capita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'2'!$AW$14:$AW$18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'2'!$BI$14:$BI$18</c:f>
              <c:numCache>
                <c:formatCode>0.00%</c:formatCode>
                <c:ptCount val="5"/>
                <c:pt idx="0">
                  <c:v>1.8780112849114351E-3</c:v>
                </c:pt>
                <c:pt idx="1">
                  <c:v>-1.0528763404501278E-2</c:v>
                </c:pt>
                <c:pt idx="2">
                  <c:v>-1.8557430824669187E-2</c:v>
                </c:pt>
                <c:pt idx="3">
                  <c:v>-2.0909550657301171E-2</c:v>
                </c:pt>
                <c:pt idx="4">
                  <c:v>-2.0407767694867154E-2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E6-4402-B25D-C3F0A67D2632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'2'!$AW$20:$AW$24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'2'!$BI$20:$BI$24</c:f>
              <c:numCache>
                <c:formatCode>0.00%</c:formatCode>
                <c:ptCount val="5"/>
                <c:pt idx="0">
                  <c:v>1.8954942037593125E-3</c:v>
                </c:pt>
                <c:pt idx="1">
                  <c:v>-1.0585925461956388E-2</c:v>
                </c:pt>
                <c:pt idx="2">
                  <c:v>-2.3703808340282375E-2</c:v>
                </c:pt>
                <c:pt idx="3">
                  <c:v>-3.5002477658714046E-2</c:v>
                </c:pt>
                <c:pt idx="4">
                  <c:v>-4.0234482053552255E-2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E6-4402-B25D-C3F0A67D2632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'2'!$AW$26:$AW$30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'2'!$BI$26:$BI$30</c:f>
              <c:numCache>
                <c:formatCode>0.00%</c:formatCode>
                <c:ptCount val="5"/>
                <c:pt idx="0">
                  <c:v>1.8601298122177467E-3</c:v>
                </c:pt>
                <c:pt idx="1">
                  <c:v>-1.018707979530799E-2</c:v>
                </c:pt>
                <c:pt idx="2">
                  <c:v>-2.1910573782490977E-2</c:v>
                </c:pt>
                <c:pt idx="3">
                  <c:v>-3.6247548271748656E-2</c:v>
                </c:pt>
                <c:pt idx="4">
                  <c:v>-5.2196078368036046E-2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E6-4402-B25D-C3F0A67D2632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'2'!$AW$32:$AW$36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'2'!$BI$32:$BI$36</c:f>
              <c:numCache>
                <c:formatCode>0.00%</c:formatCode>
                <c:ptCount val="5"/>
                <c:pt idx="0">
                  <c:v>2.1311313218630406E-3</c:v>
                </c:pt>
                <c:pt idx="1">
                  <c:v>-1.3866440307505173E-2</c:v>
                </c:pt>
                <c:pt idx="2">
                  <c:v>-3.2215773218806185E-2</c:v>
                </c:pt>
                <c:pt idx="3">
                  <c:v>-5.8388360122573368E-2</c:v>
                </c:pt>
                <c:pt idx="4">
                  <c:v>-8.7048861500683319E-2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E6-4402-B25D-C3F0A67D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8608"/>
        <c:axId val="44229184"/>
      </c:scatterChart>
      <c:valAx>
        <c:axId val="44228608"/>
        <c:scaling>
          <c:orientation val="minMax"/>
          <c:max val="208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9184"/>
        <c:crosses val="autoZero"/>
        <c:crossBetween val="midCat"/>
        <c:majorUnit val="20"/>
      </c:valAx>
      <c:valAx>
        <c:axId val="4422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860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010829701944691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Adults population</a:t>
            </a:r>
          </a:p>
        </c:rich>
      </c:tx>
      <c:layout>
        <c:manualLayout>
          <c:xMode val="edge"/>
          <c:yMode val="edge"/>
          <c:x val="0.36780270454367309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'2'!$BG$2:$BG$7</c:f>
              <c:numCache>
                <c:formatCode>General</c:formatCode>
                <c:ptCount val="6"/>
                <c:pt idx="0">
                  <c:v>26.731649279999999</c:v>
                </c:pt>
                <c:pt idx="1">
                  <c:v>38.173985279999997</c:v>
                </c:pt>
                <c:pt idx="2">
                  <c:v>44.325362699999999</c:v>
                </c:pt>
                <c:pt idx="3">
                  <c:v>44.880675490000002</c:v>
                </c:pt>
                <c:pt idx="4">
                  <c:v>43.712849849999998</c:v>
                </c:pt>
                <c:pt idx="5">
                  <c:v>39.429266519999999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FB-46F3-AABA-E41D1DC558E4}"/>
            </c:ext>
          </c:extLst>
        </c:ser>
        <c:ser>
          <c:idx val="1"/>
          <c:order val="1"/>
          <c:tx>
            <c:strRef>
              <c:f>'2'!$AV$8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FB-46F3-AABA-E41D1DC55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31488"/>
        <c:axId val="44232064"/>
      </c:scatterChart>
      <c:valAx>
        <c:axId val="4423148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2064"/>
        <c:crosses val="autoZero"/>
        <c:crossBetween val="midCat"/>
        <c:majorUnit val="20"/>
      </c:valAx>
      <c:valAx>
        <c:axId val="4423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148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layout>
        <c:manualLayout>
          <c:xMode val="edge"/>
          <c:yMode val="edge"/>
          <c:x val="0.48701366268083851"/>
          <c:y val="2.634566362657905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'3'!$R$9:$R$29</c:f>
              <c:numCache>
                <c:formatCode>0.00</c:formatCode>
                <c:ptCount val="21"/>
                <c:pt idx="0">
                  <c:v>0.48888888888888893</c:v>
                </c:pt>
                <c:pt idx="1">
                  <c:v>0.56818181818181823</c:v>
                </c:pt>
                <c:pt idx="2">
                  <c:v>0.67441860465116299</c:v>
                </c:pt>
                <c:pt idx="3">
                  <c:v>0.82500000000000007</c:v>
                </c:pt>
                <c:pt idx="4">
                  <c:v>0.94871794871794857</c:v>
                </c:pt>
                <c:pt idx="5">
                  <c:v>1.1388888888888888</c:v>
                </c:pt>
                <c:pt idx="6">
                  <c:v>1.3636363636363635</c:v>
                </c:pt>
                <c:pt idx="7">
                  <c:v>1.6333333333333333</c:v>
                </c:pt>
                <c:pt idx="8">
                  <c:v>1.8928571428571428</c:v>
                </c:pt>
                <c:pt idx="9">
                  <c:v>2.1538461538461542</c:v>
                </c:pt>
                <c:pt idx="10">
                  <c:v>2.6086956521739135</c:v>
                </c:pt>
                <c:pt idx="11">
                  <c:v>3.149999999999999</c:v>
                </c:pt>
                <c:pt idx="12">
                  <c:v>3.8823529411764706</c:v>
                </c:pt>
                <c:pt idx="13">
                  <c:v>4.3125</c:v>
                </c:pt>
                <c:pt idx="14">
                  <c:v>5.5384615384615383</c:v>
                </c:pt>
                <c:pt idx="15">
                  <c:v>6.7272727272727284</c:v>
                </c:pt>
                <c:pt idx="16">
                  <c:v>6.9090909090909101</c:v>
                </c:pt>
                <c:pt idx="17">
                  <c:v>8.6666666666666661</c:v>
                </c:pt>
                <c:pt idx="18">
                  <c:v>9.875</c:v>
                </c:pt>
                <c:pt idx="19">
                  <c:v>13.500000000000002</c:v>
                </c:pt>
                <c:pt idx="20">
                  <c:v>16.399999999999999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429-46F4-850E-6CC62AA98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34368"/>
        <c:axId val="44234944"/>
      </c:scatterChart>
      <c:valAx>
        <c:axId val="4423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4944"/>
        <c:crosses val="autoZero"/>
        <c:crossBetween val="midCat"/>
      </c:valAx>
      <c:valAx>
        <c:axId val="4423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4368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Adult Population</a:t>
            </a:r>
          </a:p>
        </c:rich>
      </c:tx>
      <c:layout>
        <c:manualLayout>
          <c:xMode val="edge"/>
          <c:yMode val="edge"/>
          <c:x val="0.38736950904392758"/>
          <c:y val="2.314819391970622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'3'!$Q$9:$Q$29</c:f>
              <c:numCache>
                <c:formatCode>0.000</c:formatCode>
                <c:ptCount val="21"/>
                <c:pt idx="0">
                  <c:v>26.731649279999999</c:v>
                </c:pt>
                <c:pt idx="1">
                  <c:v>29.796977939999998</c:v>
                </c:pt>
                <c:pt idx="2">
                  <c:v>33.44025456</c:v>
                </c:pt>
                <c:pt idx="3">
                  <c:v>35.206953920000004</c:v>
                </c:pt>
                <c:pt idx="4">
                  <c:v>38.173985279999997</c:v>
                </c:pt>
                <c:pt idx="5">
                  <c:v>39.945798969999998</c:v>
                </c:pt>
                <c:pt idx="6">
                  <c:v>41.47663962</c:v>
                </c:pt>
                <c:pt idx="7">
                  <c:v>42.758892199999998</c:v>
                </c:pt>
                <c:pt idx="8">
                  <c:v>44.325362699999999</c:v>
                </c:pt>
                <c:pt idx="9">
                  <c:v>45.086265000000004</c:v>
                </c:pt>
                <c:pt idx="10">
                  <c:v>45.589638250000007</c:v>
                </c:pt>
                <c:pt idx="11">
                  <c:v>45.330290639999994</c:v>
                </c:pt>
                <c:pt idx="12">
                  <c:v>44.880675490000002</c:v>
                </c:pt>
                <c:pt idx="13">
                  <c:v>45.344676299999996</c:v>
                </c:pt>
                <c:pt idx="14">
                  <c:v>44.583392500000002</c:v>
                </c:pt>
                <c:pt idx="15">
                  <c:v>43.697542049999996</c:v>
                </c:pt>
                <c:pt idx="16">
                  <c:v>43.712849849999998</c:v>
                </c:pt>
                <c:pt idx="17">
                  <c:v>42.643012589999998</c:v>
                </c:pt>
                <c:pt idx="18">
                  <c:v>41.555950200000005</c:v>
                </c:pt>
                <c:pt idx="19">
                  <c:v>40.473975570000007</c:v>
                </c:pt>
                <c:pt idx="20">
                  <c:v>39.429266519999999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522-4925-86A4-933B69ED3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1824"/>
        <c:axId val="44622400"/>
      </c:scatterChart>
      <c:valAx>
        <c:axId val="446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2400"/>
        <c:crosses val="autoZero"/>
        <c:crossBetween val="midCat"/>
      </c:valAx>
      <c:valAx>
        <c:axId val="4462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1824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skilled labor</a:t>
            </a:r>
            <a:endParaRPr lang="en-US" b="1"/>
          </a:p>
        </c:rich>
      </c:tx>
      <c:layout>
        <c:manualLayout>
          <c:xMode val="edge"/>
          <c:yMode val="edge"/>
          <c:x val="0.32340408776390311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'3'!$AW$2:$AW$7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'3'!$BD$2:$BD$7</c:f>
              <c:numCache>
                <c:formatCode>General</c:formatCode>
                <c:ptCount val="6"/>
                <c:pt idx="0">
                  <c:v>8.7775564799999994</c:v>
                </c:pt>
                <c:pt idx="1">
                  <c:v>18.584703359999999</c:v>
                </c:pt>
                <c:pt idx="2">
                  <c:v>29.003015099999999</c:v>
                </c:pt>
                <c:pt idx="3">
                  <c:v>35.68824798</c:v>
                </c:pt>
                <c:pt idx="4">
                  <c:v>38.185937799999998</c:v>
                </c:pt>
                <c:pt idx="5">
                  <c:v>37.163216720000001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F1-440A-B363-8CB3CE94B7BB}"/>
            </c:ext>
          </c:extLst>
        </c:ser>
        <c:ser>
          <c:idx val="1"/>
          <c:order val="1"/>
          <c:tx>
            <c:strRef>
              <c:f>'3'!$AV$8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'3'!$BD$8:$BD$13</c:f>
              <c:numCache>
                <c:formatCode>General</c:formatCode>
                <c:ptCount val="6"/>
                <c:pt idx="0">
                  <c:v>7.95740947</c:v>
                </c:pt>
                <c:pt idx="1">
                  <c:v>17.134755330000001</c:v>
                </c:pt>
                <c:pt idx="2">
                  <c:v>27.113838600000001</c:v>
                </c:pt>
                <c:pt idx="3">
                  <c:v>33.592890099999998</c:v>
                </c:pt>
                <c:pt idx="4">
                  <c:v>35.372174370000003</c:v>
                </c:pt>
                <c:pt idx="5">
                  <c:v>33.884356609999998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5F1-440A-B363-8CB3CE94B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4128"/>
        <c:axId val="44624704"/>
      </c:scatterChart>
      <c:valAx>
        <c:axId val="4462412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4704"/>
        <c:crosses val="autoZero"/>
        <c:crossBetween val="midCat"/>
        <c:majorUnit val="20"/>
      </c:valAx>
      <c:valAx>
        <c:axId val="4462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412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unskilled labor</a:t>
            </a:r>
            <a:endParaRPr lang="en-US" b="1"/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'3'!$BE$2:$BE$7</c:f>
              <c:numCache>
                <c:formatCode>General</c:formatCode>
                <c:ptCount val="6"/>
                <c:pt idx="0">
                  <c:v>17.954092799999998</c:v>
                </c:pt>
                <c:pt idx="1">
                  <c:v>19.589281920000001</c:v>
                </c:pt>
                <c:pt idx="2">
                  <c:v>15.322347600000001</c:v>
                </c:pt>
                <c:pt idx="3">
                  <c:v>9.1924275099999999</c:v>
                </c:pt>
                <c:pt idx="4">
                  <c:v>5.5269120499999991</c:v>
                </c:pt>
                <c:pt idx="5">
                  <c:v>2.2660498000000002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332-4B89-AA2F-C14F23A8BE25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'3'!$BE$8:$BE$13</c:f>
              <c:numCache>
                <c:formatCode>General</c:formatCode>
                <c:ptCount val="6"/>
                <c:pt idx="0">
                  <c:v>18.772590529999999</c:v>
                </c:pt>
                <c:pt idx="1">
                  <c:v>19.458579740000001</c:v>
                </c:pt>
                <c:pt idx="2">
                  <c:v>14.82193717</c:v>
                </c:pt>
                <c:pt idx="3">
                  <c:v>8.8397922900000001</c:v>
                </c:pt>
                <c:pt idx="4">
                  <c:v>4.48061036</c:v>
                </c:pt>
                <c:pt idx="5">
                  <c:v>2.0661193099999999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332-4B89-AA2F-C14F23A8B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7008"/>
        <c:axId val="44627584"/>
      </c:scatterChart>
      <c:valAx>
        <c:axId val="4462700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7584"/>
        <c:crosses val="autoZero"/>
        <c:crossBetween val="midCat"/>
        <c:majorUnit val="20"/>
      </c:valAx>
      <c:valAx>
        <c:axId val="4462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700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'3'!$AW$2:$AW$7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'3'!$BF$2:$BF$7</c:f>
              <c:numCache>
                <c:formatCode>General</c:formatCode>
                <c:ptCount val="6"/>
                <c:pt idx="0">
                  <c:v>0.48888888888888893</c:v>
                </c:pt>
                <c:pt idx="1">
                  <c:v>0.94871794871794857</c:v>
                </c:pt>
                <c:pt idx="2">
                  <c:v>1.8928571428571428</c:v>
                </c:pt>
                <c:pt idx="3">
                  <c:v>3.8823529411764706</c:v>
                </c:pt>
                <c:pt idx="4">
                  <c:v>6.9090909090909101</c:v>
                </c:pt>
                <c:pt idx="5">
                  <c:v>16.399999999999999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1B-4EB7-8591-EEBDE1E71CC7}"/>
            </c:ext>
          </c:extLst>
        </c:ser>
        <c:ser>
          <c:idx val="1"/>
          <c:order val="1"/>
          <c:tx>
            <c:strRef>
              <c:f>'3'!$AV$8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A1B-4EB7-8591-EEBDE1E71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9312"/>
        <c:axId val="44810240"/>
      </c:scatterChart>
      <c:valAx>
        <c:axId val="44629312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0240"/>
        <c:crosses val="autoZero"/>
        <c:crossBetween val="midCat"/>
        <c:majorUnit val="20"/>
      </c:valAx>
      <c:valAx>
        <c:axId val="448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9312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7666870167993474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'3'!$BF$14:$BF$19</c:f>
              <c:numCache>
                <c:formatCode>0.00%</c:formatCode>
                <c:ptCount val="6"/>
                <c:pt idx="0">
                  <c:v>0</c:v>
                </c:pt>
                <c:pt idx="1">
                  <c:v>9.3259876828626617E-2</c:v>
                </c:pt>
                <c:pt idx="2">
                  <c:v>0.11215530828396396</c:v>
                </c:pt>
                <c:pt idx="3">
                  <c:v>0.11139654918998176</c:v>
                </c:pt>
                <c:pt idx="4">
                  <c:v>0.10441705547522592</c:v>
                </c:pt>
                <c:pt idx="5">
                  <c:v>9.6245284898419103E-2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A03-40E8-AF88-542124255D22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'3'!$BF$20:$BF$25</c:f>
              <c:numCache>
                <c:formatCode>0.00%</c:formatCode>
                <c:ptCount val="6"/>
                <c:pt idx="0">
                  <c:v>0</c:v>
                </c:pt>
                <c:pt idx="1">
                  <c:v>9.4271545058428607E-2</c:v>
                </c:pt>
                <c:pt idx="2">
                  <c:v>0.12894618726806401</c:v>
                </c:pt>
                <c:pt idx="3">
                  <c:v>0.1501477528842885</c:v>
                </c:pt>
                <c:pt idx="4">
                  <c:v>0.15725066530520307</c:v>
                </c:pt>
                <c:pt idx="5">
                  <c:v>0.15942357789090059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A03-40E8-AF88-542124255D22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'3'!$BF$26:$BF$31</c:f>
              <c:numCache>
                <c:formatCode>0.00%</c:formatCode>
                <c:ptCount val="6"/>
                <c:pt idx="0">
                  <c:v>0</c:v>
                </c:pt>
                <c:pt idx="1">
                  <c:v>9.2230791599388601E-2</c:v>
                </c:pt>
                <c:pt idx="2">
                  <c:v>0.12366238558280869</c:v>
                </c:pt>
                <c:pt idx="3">
                  <c:v>0.15296620569822236</c:v>
                </c:pt>
                <c:pt idx="4">
                  <c:v>0.17928077088442806</c:v>
                </c:pt>
                <c:pt idx="5">
                  <c:v>0.23424517023278715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A03-40E8-AF88-542124255D22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'3'!$BF$32:$BF$37</c:f>
              <c:numCache>
                <c:formatCode>0.00%</c:formatCode>
                <c:ptCount val="6"/>
                <c:pt idx="0">
                  <c:v>0</c:v>
                </c:pt>
                <c:pt idx="1">
                  <c:v>0.10853582198304342</c:v>
                </c:pt>
                <c:pt idx="2">
                  <c:v>0.15086315123998673</c:v>
                </c:pt>
                <c:pt idx="3">
                  <c:v>0.19183095077826662</c:v>
                </c:pt>
                <c:pt idx="4">
                  <c:v>0.22253994575213948</c:v>
                </c:pt>
                <c:pt idx="5">
                  <c:v>0.24379724463642405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A03-40E8-AF88-54212425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12544"/>
        <c:axId val="44813120"/>
      </c:scatterChart>
      <c:valAx>
        <c:axId val="4481254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3120"/>
        <c:crosses val="autoZero"/>
        <c:crossBetween val="midCat"/>
        <c:majorUnit val="20"/>
      </c:valAx>
      <c:valAx>
        <c:axId val="448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254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 population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'3'!$BG$14:$BG$19</c:f>
              <c:numCache>
                <c:formatCode>0.00%</c:formatCode>
                <c:ptCount val="6"/>
                <c:pt idx="0">
                  <c:v>0</c:v>
                </c:pt>
                <c:pt idx="1">
                  <c:v>-2.3705871256079498E-2</c:v>
                </c:pt>
                <c:pt idx="2">
                  <c:v>-4.4564334287024922E-2</c:v>
                </c:pt>
                <c:pt idx="3">
                  <c:v>-5.7401030592730211E-2</c:v>
                </c:pt>
                <c:pt idx="4">
                  <c:v>-6.4083107549508453E-2</c:v>
                </c:pt>
                <c:pt idx="5">
                  <c:v>-6.7289096405375101E-2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BD-47D1-B19A-2B35D04CC23F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'3'!$BG$20:$BG$25</c:f>
              <c:numCache>
                <c:formatCode>0.00%</c:formatCode>
                <c:ptCount val="6"/>
                <c:pt idx="0">
                  <c:v>0</c:v>
                </c:pt>
                <c:pt idx="1">
                  <c:v>-2.3946259293496055E-2</c:v>
                </c:pt>
                <c:pt idx="2">
                  <c:v>-4.7611436854074853E-2</c:v>
                </c:pt>
                <c:pt idx="3">
                  <c:v>-6.4315744051173976E-2</c:v>
                </c:pt>
                <c:pt idx="4">
                  <c:v>-7.3863924690413973E-2</c:v>
                </c:pt>
                <c:pt idx="5">
                  <c:v>-7.8837157435884E-2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DBD-47D1-B19A-2B35D04CC23F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'3'!$BG$26:$BG$31</c:f>
              <c:numCache>
                <c:formatCode>0.00%</c:formatCode>
                <c:ptCount val="6"/>
                <c:pt idx="0">
                  <c:v>0</c:v>
                </c:pt>
                <c:pt idx="1">
                  <c:v>-2.3460998795483745E-2</c:v>
                </c:pt>
                <c:pt idx="2">
                  <c:v>-4.6260540657216624E-2</c:v>
                </c:pt>
                <c:pt idx="3">
                  <c:v>-6.3263634745670372E-2</c:v>
                </c:pt>
                <c:pt idx="4">
                  <c:v>-7.396467448813103E-2</c:v>
                </c:pt>
                <c:pt idx="5">
                  <c:v>-8.0834917358723835E-2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BD-47D1-B19A-2B35D04CC23F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'3'!$BG$32:$BG$37</c:f>
              <c:numCache>
                <c:formatCode>0.00%</c:formatCode>
                <c:ptCount val="6"/>
                <c:pt idx="0">
                  <c:v>0</c:v>
                </c:pt>
                <c:pt idx="1">
                  <c:v>-2.7300209671760851E-2</c:v>
                </c:pt>
                <c:pt idx="2">
                  <c:v>-5.4434478868828691E-2</c:v>
                </c:pt>
                <c:pt idx="3">
                  <c:v>-7.4929581655419727E-2</c:v>
                </c:pt>
                <c:pt idx="4">
                  <c:v>-8.7597533864981827E-2</c:v>
                </c:pt>
                <c:pt idx="5">
                  <c:v>-9.4589369207994545E-2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DBD-47D1-B19A-2B35D04CC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15424"/>
        <c:axId val="44816000"/>
      </c:scatterChart>
      <c:valAx>
        <c:axId val="4481542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6000"/>
        <c:crosses val="autoZero"/>
        <c:crossBetween val="midCat"/>
        <c:majorUnit val="20"/>
      </c:valAx>
      <c:valAx>
        <c:axId val="448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542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Temperature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'3'!$AZ$14:$AZ$19</c:f>
              <c:numCache>
                <c:formatCode>0.00%</c:formatCode>
                <c:ptCount val="6"/>
                <c:pt idx="0">
                  <c:v>0</c:v>
                </c:pt>
                <c:pt idx="1">
                  <c:v>0.10796665337433353</c:v>
                </c:pt>
                <c:pt idx="2">
                  <c:v>0.13471863578220397</c:v>
                </c:pt>
                <c:pt idx="3">
                  <c:v>0.1335418065858153</c:v>
                </c:pt>
                <c:pt idx="4">
                  <c:v>0.12345166931845368</c:v>
                </c:pt>
                <c:pt idx="5">
                  <c:v>0.1121786048499102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D3-42B8-9C82-EFADC001CA17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'3'!$AZ$20:$AZ$25</c:f>
              <c:numCache>
                <c:formatCode>0.00%</c:formatCode>
                <c:ptCount val="6"/>
                <c:pt idx="0">
                  <c:v>0</c:v>
                </c:pt>
                <c:pt idx="1">
                  <c:v>0.10907816844514569</c:v>
                </c:pt>
                <c:pt idx="2">
                  <c:v>0.16044403980114627</c:v>
                </c:pt>
                <c:pt idx="3">
                  <c:v>0.19600029979135819</c:v>
                </c:pt>
                <c:pt idx="4">
                  <c:v>0.20882842472390323</c:v>
                </c:pt>
                <c:pt idx="5">
                  <c:v>0.21290766296934902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8D3-42B8-9C82-EFADC001CA17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'3'!$AZ$26:$AZ$31</c:f>
              <c:numCache>
                <c:formatCode>0.00%</c:formatCode>
                <c:ptCount val="6"/>
                <c:pt idx="0">
                  <c:v>0</c:v>
                </c:pt>
                <c:pt idx="1">
                  <c:v>0.10648674119368882</c:v>
                </c:pt>
                <c:pt idx="2">
                  <c:v>0.15211938149491061</c:v>
                </c:pt>
                <c:pt idx="3">
                  <c:v>0.2011721057983171</c:v>
                </c:pt>
                <c:pt idx="4">
                  <c:v>0.25228437955532307</c:v>
                </c:pt>
                <c:pt idx="5">
                  <c:v>0.39933002107988308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8D3-42B8-9C82-EFADC001CA17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'3'!$AZ$32:$AZ$37</c:f>
              <c:numCache>
                <c:formatCode>0.00%</c:formatCode>
                <c:ptCount val="6"/>
                <c:pt idx="0">
                  <c:v>0</c:v>
                </c:pt>
                <c:pt idx="1">
                  <c:v>0.1295352714191278</c:v>
                </c:pt>
                <c:pt idx="2">
                  <c:v>0.19726733711497602</c:v>
                </c:pt>
                <c:pt idx="3">
                  <c:v>0.28003125403015616</c:v>
                </c:pt>
                <c:pt idx="4">
                  <c:v>0.36088301328199257</c:v>
                </c:pt>
                <c:pt idx="5">
                  <c:v>0.43630943401565808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8D3-42B8-9C82-EFADC001C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70400"/>
        <c:axId val="45670976"/>
      </c:scatterChart>
      <c:valAx>
        <c:axId val="45670400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0976"/>
        <c:crosses val="autoZero"/>
        <c:crossBetween val="midCat"/>
        <c:majorUnit val="20"/>
      </c:valAx>
      <c:valAx>
        <c:axId val="4567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GDP per capita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'3'!$AW$14:$AW$18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'3'!$BI$14:$BI$18</c:f>
              <c:numCache>
                <c:formatCode>0.00%</c:formatCode>
                <c:ptCount val="5"/>
                <c:pt idx="0">
                  <c:v>1.3889439561500306E-2</c:v>
                </c:pt>
                <c:pt idx="1">
                  <c:v>8.4057928446430258E-2</c:v>
                </c:pt>
                <c:pt idx="2">
                  <c:v>6.9441707326046542E-2</c:v>
                </c:pt>
                <c:pt idx="3">
                  <c:v>4.8390317358192818E-2</c:v>
                </c:pt>
                <c:pt idx="4">
                  <c:v>3.3907929468690617E-2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C7-493B-8F3C-E77F57B9EBEF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'3'!$AW$20:$AW$24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'3'!$BI$20:$BI$24</c:f>
              <c:numCache>
                <c:formatCode>0.00%</c:formatCode>
                <c:ptCount val="5"/>
                <c:pt idx="0">
                  <c:v>1.4032261620117174E-2</c:v>
                </c:pt>
                <c:pt idx="1">
                  <c:v>8.6487297584772152E-2</c:v>
                </c:pt>
                <c:pt idx="2">
                  <c:v>7.9686724595509725E-2</c:v>
                </c:pt>
                <c:pt idx="3">
                  <c:v>6.183504748485559E-2</c:v>
                </c:pt>
                <c:pt idx="4">
                  <c:v>4.6163269899230475E-2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C7-493B-8F3C-E77F57B9EBEF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'3'!$AW$26:$AW$30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'3'!$BI$26:$BI$30</c:f>
              <c:numCache>
                <c:formatCode>0.00%</c:formatCode>
                <c:ptCount val="5"/>
                <c:pt idx="0">
                  <c:v>1.3743994741826462E-2</c:v>
                </c:pt>
                <c:pt idx="1">
                  <c:v>8.4466388598877423E-2</c:v>
                </c:pt>
                <c:pt idx="2">
                  <c:v>7.7382050076625811E-2</c:v>
                </c:pt>
                <c:pt idx="3">
                  <c:v>6.318783723697402E-2</c:v>
                </c:pt>
                <c:pt idx="4">
                  <c:v>4.969441742401922E-2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C7-493B-8F3C-E77F57B9EBEF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'3'!$AW$32:$AW$36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'3'!$BI$32:$BI$36</c:f>
              <c:numCache>
                <c:formatCode>0.00%</c:formatCode>
                <c:ptCount val="5"/>
                <c:pt idx="0">
                  <c:v>1.6029145173476169E-2</c:v>
                </c:pt>
                <c:pt idx="1">
                  <c:v>9.8922392718328825E-2</c:v>
                </c:pt>
                <c:pt idx="2">
                  <c:v>9.1476143236548429E-2</c:v>
                </c:pt>
                <c:pt idx="3">
                  <c:v>7.134100873605248E-2</c:v>
                </c:pt>
                <c:pt idx="4">
                  <c:v>4.6954669073055767E-2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7C7-493B-8F3C-E77F57B9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73280"/>
        <c:axId val="45673856"/>
      </c:scatterChart>
      <c:valAx>
        <c:axId val="45673280"/>
        <c:scaling>
          <c:orientation val="minMax"/>
          <c:max val="208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3856"/>
        <c:crosses val="autoZero"/>
        <c:crossBetween val="midCat"/>
        <c:majorUnit val="20"/>
      </c:valAx>
      <c:valAx>
        <c:axId val="456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328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010829701944691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Adults population</a:t>
            </a:r>
          </a:p>
        </c:rich>
      </c:tx>
      <c:layout>
        <c:manualLayout>
          <c:xMode val="edge"/>
          <c:yMode val="edge"/>
          <c:x val="0.36780270454367309"/>
          <c:y val="2.947643169813404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'3'!$AW$2:$AW$7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'3'!$BG$2:$BG$7</c:f>
              <c:numCache>
                <c:formatCode>General</c:formatCode>
                <c:ptCount val="6"/>
                <c:pt idx="0">
                  <c:v>26.731649279999999</c:v>
                </c:pt>
                <c:pt idx="1">
                  <c:v>38.173985279999997</c:v>
                </c:pt>
                <c:pt idx="2">
                  <c:v>44.325362699999999</c:v>
                </c:pt>
                <c:pt idx="3">
                  <c:v>44.880675490000002</c:v>
                </c:pt>
                <c:pt idx="4">
                  <c:v>43.712849849999998</c:v>
                </c:pt>
                <c:pt idx="5">
                  <c:v>39.429266519999999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8F-4D44-AA5A-A2C8EDEA5850}"/>
            </c:ext>
          </c:extLst>
        </c:ser>
        <c:ser>
          <c:idx val="1"/>
          <c:order val="1"/>
          <c:tx>
            <c:strRef>
              <c:f>'3'!$AV$8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08F-4D44-AA5A-A2C8EDEA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76160"/>
        <c:axId val="45676736"/>
      </c:scatterChart>
      <c:valAx>
        <c:axId val="45676160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6736"/>
        <c:crosses val="autoZero"/>
        <c:crossBetween val="midCat"/>
        <c:majorUnit val="20"/>
      </c:valAx>
      <c:valAx>
        <c:axId val="456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616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1629289246166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'1'!$BF$2:$BF$7</c:f>
              <c:numCache>
                <c:formatCode>General</c:formatCode>
                <c:ptCount val="6"/>
                <c:pt idx="0">
                  <c:v>0.48888888888888893</c:v>
                </c:pt>
                <c:pt idx="1">
                  <c:v>0.94871794871794857</c:v>
                </c:pt>
                <c:pt idx="2">
                  <c:v>1.8928571428571428</c:v>
                </c:pt>
                <c:pt idx="3">
                  <c:v>3.8823529411764706</c:v>
                </c:pt>
                <c:pt idx="4">
                  <c:v>6.9090909090909101</c:v>
                </c:pt>
                <c:pt idx="5">
                  <c:v>16.399999999999999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25-4987-8AA2-6B9674C9E777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F25-4987-8AA2-6B9674C9E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1600"/>
        <c:axId val="57562176"/>
      </c:scatterChart>
      <c:valAx>
        <c:axId val="57561600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62176"/>
        <c:crosses val="autoZero"/>
        <c:crossBetween val="midCat"/>
        <c:majorUnit val="20"/>
      </c:valAx>
      <c:valAx>
        <c:axId val="57562176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61600"/>
        <c:crosses val="autoZero"/>
        <c:crossBetween val="midCat"/>
        <c:majorUnit val="3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30832221493146689"/>
          <c:h val="0.15676444363565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1629296337957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'1'!$BG$2:$BG$7</c:f>
              <c:numCache>
                <c:formatCode>General</c:formatCode>
                <c:ptCount val="6"/>
                <c:pt idx="0">
                  <c:v>26.731649279999999</c:v>
                </c:pt>
                <c:pt idx="1">
                  <c:v>38.173985279999997</c:v>
                </c:pt>
                <c:pt idx="2">
                  <c:v>44.325362699999999</c:v>
                </c:pt>
                <c:pt idx="3">
                  <c:v>44.880675490000002</c:v>
                </c:pt>
                <c:pt idx="4">
                  <c:v>43.712849849999998</c:v>
                </c:pt>
                <c:pt idx="5">
                  <c:v>39.429266519999999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A-4073-9ACD-C3418015C75E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F6A-4073-9ACD-C3418015C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4480"/>
        <c:axId val="45883392"/>
      </c:scatterChart>
      <c:valAx>
        <c:axId val="57564480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3392"/>
        <c:crosses val="autoZero"/>
        <c:crossBetween val="midCat"/>
        <c:majorUnit val="20"/>
      </c:valAx>
      <c:valAx>
        <c:axId val="45883392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64480"/>
        <c:crosses val="autoZero"/>
        <c:crossBetween val="midCat"/>
        <c:majorUnit val="8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'1'!$BN$14:$BN$19</c:f>
              <c:numCache>
                <c:formatCode>General</c:formatCode>
                <c:ptCount val="6"/>
                <c:pt idx="0">
                  <c:v>881.61855719999994</c:v>
                </c:pt>
                <c:pt idx="1">
                  <c:v>998.13992640000004</c:v>
                </c:pt>
                <c:pt idx="2">
                  <c:v>1063.0370908</c:v>
                </c:pt>
                <c:pt idx="3">
                  <c:v>1059.881386</c:v>
                </c:pt>
                <c:pt idx="4">
                  <c:v>1033.9607608000001</c:v>
                </c:pt>
                <c:pt idx="5">
                  <c:v>1007.40863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19-447B-92A4-D05AF63243B4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'1'!$BN$20:$BN$25</c:f>
              <c:numCache>
                <c:formatCode>General</c:formatCode>
                <c:ptCount val="6"/>
                <c:pt idx="0">
                  <c:v>881.61855719999994</c:v>
                </c:pt>
                <c:pt idx="1">
                  <c:v>1000.5514476000001</c:v>
                </c:pt>
                <c:pt idx="2">
                  <c:v>1138.9385179999999</c:v>
                </c:pt>
                <c:pt idx="3">
                  <c:v>1265.6261140000001</c:v>
                </c:pt>
                <c:pt idx="4">
                  <c:v>1317.5372820000002</c:v>
                </c:pt>
                <c:pt idx="5">
                  <c:v>1334.7340224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C19-447B-92A4-D05AF63243B4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'1'!$BN$26:$BN$31</c:f>
              <c:numCache>
                <c:formatCode>General</c:formatCode>
                <c:ptCount val="6"/>
                <c:pt idx="0">
                  <c:v>881.61855719999994</c:v>
                </c:pt>
                <c:pt idx="1">
                  <c:v>994.96747360000006</c:v>
                </c:pt>
                <c:pt idx="2">
                  <c:v>1112.9290860000001</c:v>
                </c:pt>
                <c:pt idx="3">
                  <c:v>1286.1588864</c:v>
                </c:pt>
                <c:pt idx="4">
                  <c:v>1517.8381256</c:v>
                </c:pt>
                <c:pt idx="5">
                  <c:v>2475.6255480000004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C19-447B-92A4-D05AF63243B4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'1'!$BN$32:$BN$37</c:f>
              <c:numCache>
                <c:formatCode>General</c:formatCode>
                <c:ptCount val="6"/>
                <c:pt idx="0">
                  <c:v>881.61855719999994</c:v>
                </c:pt>
                <c:pt idx="1">
                  <c:v>1049.3453252000002</c:v>
                </c:pt>
                <c:pt idx="2">
                  <c:v>1270.6069692000001</c:v>
                </c:pt>
                <c:pt idx="3">
                  <c:v>1665.4800136000001</c:v>
                </c:pt>
                <c:pt idx="4">
                  <c:v>2183.46326</c:v>
                </c:pt>
                <c:pt idx="5">
                  <c:v>2784.5165440000001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C19-447B-92A4-D05AF6324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86272"/>
        <c:axId val="45886848"/>
      </c:scatterChart>
      <c:valAx>
        <c:axId val="45886272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6848"/>
        <c:crosses val="autoZero"/>
        <c:crossBetween val="midCat"/>
        <c:majorUnit val="20"/>
      </c:valAx>
      <c:valAx>
        <c:axId val="458868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627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9334231611808481"/>
          <c:h val="0.248896531985843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9648957255200761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'1'!$BO$14:$BO$19</c:f>
              <c:numCache>
                <c:formatCode>General</c:formatCode>
                <c:ptCount val="6"/>
                <c:pt idx="0">
                  <c:v>26.577942222222219</c:v>
                </c:pt>
                <c:pt idx="1">
                  <c:v>27.410883523463173</c:v>
                </c:pt>
                <c:pt idx="2">
                  <c:v>27.617269757926969</c:v>
                </c:pt>
                <c:pt idx="3">
                  <c:v>27.608190754257386</c:v>
                </c:pt>
                <c:pt idx="4">
                  <c:v>27.530347347960102</c:v>
                </c:pt>
                <c:pt idx="5">
                  <c:v>27.443377893096606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F1C-44C6-883B-9B2B317EA492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'1'!$BO$20:$BO$25</c:f>
              <c:numCache>
                <c:formatCode>General</c:formatCode>
                <c:ptCount val="6"/>
                <c:pt idx="0">
                  <c:v>26.577942222222219</c:v>
                </c:pt>
                <c:pt idx="1">
                  <c:v>27.419458641617677</c:v>
                </c:pt>
                <c:pt idx="2">
                  <c:v>27.815736143878514</c:v>
                </c:pt>
                <c:pt idx="3">
                  <c:v>28.090045632390911</c:v>
                </c:pt>
                <c:pt idx="4">
                  <c:v>28.189012070081159</c:v>
                </c:pt>
                <c:pt idx="5">
                  <c:v>28.220482583485449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1C-44C6-883B-9B2B317EA492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'1'!$BO$26:$BO$31</c:f>
              <c:numCache>
                <c:formatCode>General</c:formatCode>
                <c:ptCount val="6"/>
                <c:pt idx="0">
                  <c:v>26.577942222222219</c:v>
                </c:pt>
                <c:pt idx="1">
                  <c:v>27.399466294726864</c:v>
                </c:pt>
                <c:pt idx="2">
                  <c:v>27.751513057348809</c:v>
                </c:pt>
                <c:pt idx="3">
                  <c:v>28.129945089219181</c:v>
                </c:pt>
                <c:pt idx="4">
                  <c:v>28.524266136338579</c:v>
                </c:pt>
                <c:pt idx="5">
                  <c:v>29.658694074644895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1C-44C6-883B-9B2B317EA492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'1'!$BO$32:$BO$37</c:f>
              <c:numCache>
                <c:formatCode>General</c:formatCode>
                <c:ptCount val="6"/>
                <c:pt idx="0">
                  <c:v>26.577942222222219</c:v>
                </c:pt>
                <c:pt idx="1">
                  <c:v>27.577281130675388</c:v>
                </c:pt>
                <c:pt idx="2">
                  <c:v>28.099820573857293</c:v>
                </c:pt>
                <c:pt idx="3">
                  <c:v>28.738327765629862</c:v>
                </c:pt>
                <c:pt idx="4">
                  <c:v>29.362083040560467</c:v>
                </c:pt>
                <c:pt idx="5">
                  <c:v>29.94398290566069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F1C-44C6-883B-9B2B317EA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89152"/>
        <c:axId val="45889728"/>
      </c:scatterChart>
      <c:valAx>
        <c:axId val="45889152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9728"/>
        <c:crosses val="autoZero"/>
        <c:crossBetween val="midCat"/>
        <c:majorUnit val="20"/>
      </c:valAx>
      <c:valAx>
        <c:axId val="45889728"/>
        <c:scaling>
          <c:orientation val="minMax"/>
          <c:max val="32"/>
          <c:min val="26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89152"/>
        <c:crosses val="autoZero"/>
        <c:crossBetween val="midCat"/>
        <c:majorUnit val="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Ratio of skilled to unskilled labor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4"/>
          <c:order val="0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2700" cap="flat" cmpd="sng" algn="ctr">
              <a:solidFill>
                <a:srgbClr val="C00000"/>
              </a:solidFill>
              <a:prstDash val="solid"/>
              <a:miter lim="800000"/>
            </a:ln>
            <a:effectLst/>
          </c:spPr>
          <c:marker>
            <c:symbol val="triangle"/>
            <c:size val="8"/>
            <c:spPr>
              <a:solidFill>
                <a:srgbClr val="C00000"/>
              </a:solidFill>
              <a:ln w="12700" cap="flat" cmpd="sng" algn="ctr">
                <a:solidFill>
                  <a:srgbClr val="C00000"/>
                </a:solidFill>
                <a:prstDash val="solid"/>
                <a:miter lim="800000"/>
              </a:ln>
              <a:effectLst/>
            </c:spPr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D-4875-BF0B-BD6025013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19136"/>
        <c:axId val="57819712"/>
      </c:scatterChart>
      <c:valAx>
        <c:axId val="5781913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9712"/>
        <c:crosses val="autoZero"/>
        <c:crossBetween val="midCat"/>
        <c:majorUnit val="20"/>
      </c:valAx>
      <c:valAx>
        <c:axId val="5781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9136"/>
        <c:crosses val="autoZero"/>
        <c:crossBetween val="midCat"/>
        <c:majorUnit val="3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Adult population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4"/>
          <c:order val="0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A2D-4AE2-AAA7-7344DA294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21440"/>
        <c:axId val="57822016"/>
      </c:scatterChart>
      <c:valAx>
        <c:axId val="57821440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016"/>
        <c:crosses val="autoZero"/>
        <c:crossBetween val="midCat"/>
        <c:majorUnit val="20"/>
      </c:valAx>
      <c:valAx>
        <c:axId val="5782201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144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baseline="0">
                <a:effectLst/>
              </a:rPr>
              <a:t>Latitude = 45°</a:t>
            </a:r>
            <a:endParaRPr lang="en-US" sz="2000">
              <a:effectLst/>
            </a:endParaRPr>
          </a:p>
        </c:rich>
      </c:tx>
      <c:layout>
        <c:manualLayout>
          <c:xMode val="edge"/>
          <c:yMode val="edge"/>
          <c:x val="0.38594677078762707"/>
          <c:y val="7.047542783156237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754547372408351"/>
          <c:y val="0.13825510873686911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'3'!$AZ$14:$AZ$19</c:f>
              <c:numCache>
                <c:formatCode>0.00%</c:formatCode>
                <c:ptCount val="6"/>
                <c:pt idx="0">
                  <c:v>0</c:v>
                </c:pt>
                <c:pt idx="1">
                  <c:v>0.10796665337433353</c:v>
                </c:pt>
                <c:pt idx="2">
                  <c:v>0.13471863578220397</c:v>
                </c:pt>
                <c:pt idx="3">
                  <c:v>0.1335418065858153</c:v>
                </c:pt>
                <c:pt idx="4">
                  <c:v>0.12345166931845368</c:v>
                </c:pt>
                <c:pt idx="5">
                  <c:v>0.1121786048499102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B3-4A36-A19A-B7A3E57F45D6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'3'!$AZ$20:$AZ$25</c:f>
              <c:numCache>
                <c:formatCode>0.00%</c:formatCode>
                <c:ptCount val="6"/>
                <c:pt idx="0">
                  <c:v>0</c:v>
                </c:pt>
                <c:pt idx="1">
                  <c:v>0.10907816844514569</c:v>
                </c:pt>
                <c:pt idx="2">
                  <c:v>0.16044403980114627</c:v>
                </c:pt>
                <c:pt idx="3">
                  <c:v>0.19600029979135819</c:v>
                </c:pt>
                <c:pt idx="4">
                  <c:v>0.20882842472390323</c:v>
                </c:pt>
                <c:pt idx="5">
                  <c:v>0.21290766296934902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B3-4A36-A19A-B7A3E57F45D6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'3'!$AZ$26:$AZ$31</c:f>
              <c:numCache>
                <c:formatCode>0.00%</c:formatCode>
                <c:ptCount val="6"/>
                <c:pt idx="0">
                  <c:v>0</c:v>
                </c:pt>
                <c:pt idx="1">
                  <c:v>0.10648674119368882</c:v>
                </c:pt>
                <c:pt idx="2">
                  <c:v>0.15211938149491061</c:v>
                </c:pt>
                <c:pt idx="3">
                  <c:v>0.2011721057983171</c:v>
                </c:pt>
                <c:pt idx="4">
                  <c:v>0.25228437955532307</c:v>
                </c:pt>
                <c:pt idx="5">
                  <c:v>0.39933002107988308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0B3-4A36-A19A-B7A3E57F45D6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'3'!$AZ$32:$AZ$37</c:f>
              <c:numCache>
                <c:formatCode>0.00%</c:formatCode>
                <c:ptCount val="6"/>
                <c:pt idx="0">
                  <c:v>0</c:v>
                </c:pt>
                <c:pt idx="1">
                  <c:v>0.1295352714191278</c:v>
                </c:pt>
                <c:pt idx="2">
                  <c:v>0.19726733711497602</c:v>
                </c:pt>
                <c:pt idx="3">
                  <c:v>0.28003125403015616</c:v>
                </c:pt>
                <c:pt idx="4">
                  <c:v>0.36088301328199257</c:v>
                </c:pt>
                <c:pt idx="5">
                  <c:v>0.43630943401565808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0B3-4A36-A19A-B7A3E57F4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24320"/>
        <c:axId val="57824896"/>
      </c:scatterChart>
      <c:valAx>
        <c:axId val="57824320"/>
        <c:scaling>
          <c:orientation val="minMax"/>
          <c:max val="2100"/>
          <c:min val="2000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crossAx val="57824896"/>
        <c:crosses val="autoZero"/>
        <c:crossBetween val="midCat"/>
        <c:majorUnit val="20"/>
      </c:valAx>
      <c:valAx>
        <c:axId val="57824896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57824320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'3'!$BC$14:$BC$19</c:f>
              <c:numCache>
                <c:formatCode>0.00%</c:formatCode>
                <c:ptCount val="6"/>
                <c:pt idx="0">
                  <c:v>0</c:v>
                </c:pt>
                <c:pt idx="1">
                  <c:v>-0.16360288134208453</c:v>
                </c:pt>
                <c:pt idx="2">
                  <c:v>-0.19167315790946485</c:v>
                </c:pt>
                <c:pt idx="3">
                  <c:v>-0.19051336394510468</c:v>
                </c:pt>
                <c:pt idx="4">
                  <c:v>-0.1802951522245467</c:v>
                </c:pt>
                <c:pt idx="5">
                  <c:v>-0.16826999515065869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E07-4A58-AB34-0C1FCC6DF9D3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'3'!$BC$20:$BC$25</c:f>
              <c:numCache>
                <c:formatCode>0.00%</c:formatCode>
                <c:ptCount val="6"/>
                <c:pt idx="0">
                  <c:v>0</c:v>
                </c:pt>
                <c:pt idx="1">
                  <c:v>-0.16484400313938011</c:v>
                </c:pt>
                <c:pt idx="2">
                  <c:v>-0.21547748548695816</c:v>
                </c:pt>
                <c:pt idx="3">
                  <c:v>-0.24405202456278344</c:v>
                </c:pt>
                <c:pt idx="4">
                  <c:v>-0.25328815120127729</c:v>
                </c:pt>
                <c:pt idx="5">
                  <c:v>-0.25611660815808812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E07-4A58-AB34-0C1FCC6DF9D3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'3'!$BC$26:$BC$31</c:f>
              <c:numCache>
                <c:formatCode>0.00%</c:formatCode>
                <c:ptCount val="6"/>
                <c:pt idx="0">
                  <c:v>0</c:v>
                </c:pt>
                <c:pt idx="1">
                  <c:v>-0.16193971095259563</c:v>
                </c:pt>
                <c:pt idx="2">
                  <c:v>-0.20808676394292944</c:v>
                </c:pt>
                <c:pt idx="3">
                  <c:v>-0.24783926377712687</c:v>
                </c:pt>
                <c:pt idx="4">
                  <c:v>-0.28096446258439761</c:v>
                </c:pt>
                <c:pt idx="5">
                  <c:v>-0.34355709732619671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E07-4A58-AB34-0C1FCC6DF9D3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'3'!$BC$32:$BC$37</c:f>
              <c:numCache>
                <c:formatCode>0.00%</c:formatCode>
                <c:ptCount val="6"/>
                <c:pt idx="0">
                  <c:v>0</c:v>
                </c:pt>
                <c:pt idx="1">
                  <c:v>-0.18651538143206869</c:v>
                </c:pt>
                <c:pt idx="2">
                  <c:v>-0.24498796329978256</c:v>
                </c:pt>
                <c:pt idx="3">
                  <c:v>-0.29608214337093913</c:v>
                </c:pt>
                <c:pt idx="4">
                  <c:v>-0.33096835012300335</c:v>
                </c:pt>
                <c:pt idx="5">
                  <c:v>-0.35359790925026657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E07-4A58-AB34-0C1FCC6DF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97664"/>
        <c:axId val="58098240"/>
      </c:scatterChart>
      <c:valAx>
        <c:axId val="58097664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8240"/>
        <c:crosses val="autoZero"/>
        <c:crossBetween val="midCat"/>
        <c:majorUnit val="20"/>
      </c:valAx>
      <c:valAx>
        <c:axId val="58098240"/>
        <c:scaling>
          <c:orientation val="minMax"/>
          <c:max val="0.45"/>
          <c:min val="-0.45"/>
        </c:scaling>
        <c:delete val="1"/>
        <c:axPos val="l"/>
        <c:numFmt formatCode="0%" sourceLinked="0"/>
        <c:majorTickMark val="none"/>
        <c:minorTickMark val="none"/>
        <c:tickLblPos val="none"/>
        <c:crossAx val="58097664"/>
        <c:crosses val="autoZero"/>
        <c:crossBetween val="midCat"/>
        <c:majorUnit val="0.1500000000000000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  <a:latin typeface="+mn-lt"/>
              </a:rPr>
              <a:t>Latitude = 25°</a:t>
            </a:r>
          </a:p>
        </c:rich>
      </c:tx>
      <c:layout>
        <c:manualLayout>
          <c:xMode val="edge"/>
          <c:yMode val="edge"/>
          <c:x val="0.38190190603096802"/>
          <c:y val="7.2540932383452078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'2'!$AZ$14:$AZ$19</c:f>
              <c:numCache>
                <c:formatCode>0.00%</c:formatCode>
                <c:ptCount val="6"/>
                <c:pt idx="0">
                  <c:v>0</c:v>
                </c:pt>
                <c:pt idx="1">
                  <c:v>5.8145854438274566E-2</c:v>
                </c:pt>
                <c:pt idx="2">
                  <c:v>7.2553236962489193E-2</c:v>
                </c:pt>
                <c:pt idx="3">
                  <c:v>7.1919451094229744E-2</c:v>
                </c:pt>
                <c:pt idx="4">
                  <c:v>6.6485369046913975E-2</c:v>
                </c:pt>
                <c:pt idx="5">
                  <c:v>6.04142170275161E-2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7E-4F4A-9210-00296B4524B0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'2'!$AZ$20:$AZ$25</c:f>
              <c:numCache>
                <c:formatCode>0.00%</c:formatCode>
                <c:ptCount val="6"/>
                <c:pt idx="0">
                  <c:v>0</c:v>
                </c:pt>
                <c:pt idx="1">
                  <c:v>5.8744465134202235E-2</c:v>
                </c:pt>
                <c:pt idx="2">
                  <c:v>8.6407751765916613E-2</c:v>
                </c:pt>
                <c:pt idx="3">
                  <c:v>0.10555671168219932</c:v>
                </c:pt>
                <c:pt idx="4">
                  <c:v>0.11246534746678395</c:v>
                </c:pt>
                <c:pt idx="5">
                  <c:v>0.11466223683795269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47E-4F4A-9210-00296B4524B0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'2'!$AZ$26:$AZ$31</c:f>
              <c:numCache>
                <c:formatCode>0.00%</c:formatCode>
                <c:ptCount val="6"/>
                <c:pt idx="0">
                  <c:v>0</c:v>
                </c:pt>
                <c:pt idx="1">
                  <c:v>5.734884206873446E-2</c:v>
                </c:pt>
                <c:pt idx="2">
                  <c:v>8.1924475170832026E-2</c:v>
                </c:pt>
                <c:pt idx="3">
                  <c:v>0.10834200760334818</c:v>
                </c:pt>
                <c:pt idx="4">
                  <c:v>0.13586871827742952</c:v>
                </c:pt>
                <c:pt idx="5">
                  <c:v>0.21506071136649521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47E-4F4A-9210-00296B4524B0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'2'!$AZ$32:$AZ$37</c:f>
              <c:numCache>
                <c:formatCode>0.00%</c:formatCode>
                <c:ptCount val="6"/>
                <c:pt idx="0">
                  <c:v>0</c:v>
                </c:pt>
                <c:pt idx="1">
                  <c:v>6.9761716244411354E-2</c:v>
                </c:pt>
                <c:pt idx="2">
                  <c:v>0.10623907948266743</c:v>
                </c:pt>
                <c:pt idx="3">
                  <c:v>0.15081190373245132</c:v>
                </c:pt>
                <c:pt idx="4">
                  <c:v>0.19435492815348321</c:v>
                </c:pt>
                <c:pt idx="5">
                  <c:v>0.23497611574900776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47E-4F4A-9210-00296B452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00544"/>
        <c:axId val="58101120"/>
      </c:scatterChart>
      <c:valAx>
        <c:axId val="58100544"/>
        <c:scaling>
          <c:orientation val="minMax"/>
          <c:max val="2100"/>
          <c:min val="2000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crossAx val="58101120"/>
        <c:crosses val="autoZero"/>
        <c:crossBetween val="midCat"/>
        <c:majorUnit val="20"/>
      </c:valAx>
      <c:valAx>
        <c:axId val="58101120"/>
        <c:scaling>
          <c:orientation val="minMax"/>
          <c:max val="0.5"/>
        </c:scaling>
        <c:delete val="1"/>
        <c:axPos val="l"/>
        <c:numFmt formatCode="0%" sourceLinked="0"/>
        <c:majorTickMark val="none"/>
        <c:minorTickMark val="none"/>
        <c:tickLblPos val="nextTo"/>
        <c:crossAx val="58100544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'2'!$BC$14:$BC$19</c:f>
              <c:numCache>
                <c:formatCode>0.00%</c:formatCode>
                <c:ptCount val="6"/>
                <c:pt idx="0">
                  <c:v>0</c:v>
                </c:pt>
                <c:pt idx="1">
                  <c:v>-2.3697093463979239E-2</c:v>
                </c:pt>
                <c:pt idx="2">
                  <c:v>-2.7526554412920338E-2</c:v>
                </c:pt>
                <c:pt idx="3">
                  <c:v>-2.7374602150358775E-2</c:v>
                </c:pt>
                <c:pt idx="4">
                  <c:v>-2.6009548567805161E-2</c:v>
                </c:pt>
                <c:pt idx="5">
                  <c:v>-2.4352257476877224E-2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86-476E-8A80-722FE8279F93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'2'!$BC$20:$BC$25</c:f>
              <c:numCache>
                <c:formatCode>0.00%</c:formatCode>
                <c:ptCount val="6"/>
                <c:pt idx="0">
                  <c:v>0</c:v>
                </c:pt>
                <c:pt idx="1">
                  <c:v>-2.3871892789020521E-2</c:v>
                </c:pt>
                <c:pt idx="2">
                  <c:v>-3.0470843799984191E-2</c:v>
                </c:pt>
                <c:pt idx="3">
                  <c:v>-3.3354760626614473E-2</c:v>
                </c:pt>
                <c:pt idx="4">
                  <c:v>-3.405678992828079E-2</c:v>
                </c:pt>
                <c:pt idx="5">
                  <c:v>-3.4242228845471193E-2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486-476E-8A80-722FE8279F93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'2'!$BC$26:$BC$31</c:f>
              <c:numCache>
                <c:formatCode>0.00%</c:formatCode>
                <c:ptCount val="6"/>
                <c:pt idx="0">
                  <c:v>0</c:v>
                </c:pt>
                <c:pt idx="1">
                  <c:v>-2.3462237439925818E-2</c:v>
                </c:pt>
                <c:pt idx="2">
                  <c:v>-2.9596961601533588E-2</c:v>
                </c:pt>
                <c:pt idx="3">
                  <c:v>-3.3659460089442143E-2</c:v>
                </c:pt>
                <c:pt idx="4">
                  <c:v>-3.508488862876883E-2</c:v>
                </c:pt>
                <c:pt idx="5">
                  <c:v>-2.1942411921996616E-2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486-476E-8A80-722FE8279F93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'2'!$BC$32:$BC$37</c:f>
              <c:numCache>
                <c:formatCode>0.00%</c:formatCode>
                <c:ptCount val="6"/>
                <c:pt idx="0">
                  <c:v>0</c:v>
                </c:pt>
                <c:pt idx="1">
                  <c:v>-2.6845921645655878E-2</c:v>
                </c:pt>
                <c:pt idx="2">
                  <c:v>-3.3432112360448553E-2</c:v>
                </c:pt>
                <c:pt idx="3">
                  <c:v>-3.4628611364388898E-2</c:v>
                </c:pt>
                <c:pt idx="4">
                  <c:v>-2.8050280178796731E-2</c:v>
                </c:pt>
                <c:pt idx="5">
                  <c:v>-1.4037378838279766E-2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486-476E-8A80-722FE8279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03424"/>
        <c:axId val="58104000"/>
      </c:scatterChart>
      <c:valAx>
        <c:axId val="58103424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04000"/>
        <c:crosses val="autoZero"/>
        <c:crossBetween val="midCat"/>
        <c:majorUnit val="20"/>
      </c:valAx>
      <c:valAx>
        <c:axId val="58104000"/>
        <c:scaling>
          <c:orientation val="minMax"/>
          <c:max val="0.45"/>
          <c:min val="-0.45"/>
        </c:scaling>
        <c:delete val="1"/>
        <c:axPos val="l"/>
        <c:numFmt formatCode="0%" sourceLinked="0"/>
        <c:majorTickMark val="none"/>
        <c:minorTickMark val="none"/>
        <c:tickLblPos val="none"/>
        <c:crossAx val="58103424"/>
        <c:crosses val="autoZero"/>
        <c:crossBetween val="midCat"/>
        <c:majorUnit val="0.1500000000000000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</a:rPr>
              <a:t>Latitude = 5</a:t>
            </a:r>
            <a:r>
              <a:rPr lang="en-US" sz="2000" b="1">
                <a:solidFill>
                  <a:schemeClr val="tx1"/>
                </a:solidFill>
                <a:latin typeface="Book Antiqua" panose="02040602050305030304" pitchFamily="18" charset="0"/>
              </a:rPr>
              <a:t>° (</a:t>
            </a:r>
            <a:r>
              <a:rPr lang="en-US" sz="2000" b="1">
                <a:solidFill>
                  <a:schemeClr val="tx1"/>
                </a:solidFill>
              </a:rPr>
              <a:t>Colombia)</a:t>
            </a:r>
          </a:p>
        </c:rich>
      </c:tx>
      <c:layout>
        <c:manualLayout>
          <c:xMode val="edge"/>
          <c:yMode val="edge"/>
          <c:x val="0.32313025782799176"/>
          <c:y val="9.0488688913885828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3988106184713496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'1'!$AZ$14:$AZ$19</c:f>
              <c:numCache>
                <c:formatCode>0.00%</c:formatCode>
                <c:ptCount val="6"/>
                <c:pt idx="0">
                  <c:v>0</c:v>
                </c:pt>
                <c:pt idx="1">
                  <c:v>3.1339570771755199E-2</c:v>
                </c:pt>
                <c:pt idx="2">
                  <c:v>3.910489107902991E-2</c:v>
                </c:pt>
                <c:pt idx="3">
                  <c:v>3.8763291883965344E-2</c:v>
                </c:pt>
                <c:pt idx="4">
                  <c:v>3.5834419300586881E-2</c:v>
                </c:pt>
                <c:pt idx="5">
                  <c:v>3.2562177449192549E-2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FE9-4E9B-A4F2-51C96CD9FFAF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'1'!$AZ$20:$AZ$25</c:f>
              <c:numCache>
                <c:formatCode>0.00%</c:formatCode>
                <c:ptCount val="6"/>
                <c:pt idx="0">
                  <c:v>0</c:v>
                </c:pt>
                <c:pt idx="1">
                  <c:v>3.166221118096392E-2</c:v>
                </c:pt>
                <c:pt idx="2">
                  <c:v>4.6572225618782333E-2</c:v>
                </c:pt>
                <c:pt idx="3">
                  <c:v>5.6893170943249291E-2</c:v>
                </c:pt>
                <c:pt idx="4">
                  <c:v>6.061680149608796E-2</c:v>
                </c:pt>
                <c:pt idx="5">
                  <c:v>6.1800885393221927E-2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FE9-4E9B-A4F2-51C96CD9FFAF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'1'!$AZ$26:$AZ$31</c:f>
              <c:numCache>
                <c:formatCode>0.00%</c:formatCode>
                <c:ptCount val="6"/>
                <c:pt idx="0">
                  <c:v>0</c:v>
                </c:pt>
                <c:pt idx="1">
                  <c:v>3.0909995425370273E-2</c:v>
                </c:pt>
                <c:pt idx="2">
                  <c:v>4.4155820089989868E-2</c:v>
                </c:pt>
                <c:pt idx="3">
                  <c:v>5.8394395398275345E-2</c:v>
                </c:pt>
                <c:pt idx="4">
                  <c:v>7.3230797848939877E-2</c:v>
                </c:pt>
                <c:pt idx="5">
                  <c:v>0.11591385919436654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FE9-4E9B-A4F2-51C96CD9FFAF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'1'!$AZ$32:$AZ$37</c:f>
              <c:numCache>
                <c:formatCode>0.00%</c:formatCode>
                <c:ptCount val="6"/>
                <c:pt idx="0">
                  <c:v>0</c:v>
                </c:pt>
                <c:pt idx="1">
                  <c:v>3.7600311570306827E-2</c:v>
                </c:pt>
                <c:pt idx="2">
                  <c:v>5.7260954926849399E-2</c:v>
                </c:pt>
                <c:pt idx="3">
                  <c:v>8.1284906308559557E-2</c:v>
                </c:pt>
                <c:pt idx="4">
                  <c:v>0.10475381408611782</c:v>
                </c:pt>
                <c:pt idx="5">
                  <c:v>0.12664790431458131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FE9-4E9B-A4F2-51C96CD9F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2416"/>
        <c:axId val="79012992"/>
      </c:scatterChart>
      <c:valAx>
        <c:axId val="79012416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none"/>
        <c:minorTickMark val="none"/>
        <c:tickLblPos val="nextTo"/>
        <c:crossAx val="79012992"/>
        <c:crosses val="autoZero"/>
        <c:crossBetween val="midCat"/>
        <c:majorUnit val="20"/>
      </c:valAx>
      <c:valAx>
        <c:axId val="79012992"/>
        <c:scaling>
          <c:orientation val="minMax"/>
          <c:max val="0.5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1241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9443463031151678"/>
          <c:h val="0.29016647919010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3641021493395651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'1'!$BC$14:$BC$19</c:f>
              <c:numCache>
                <c:formatCode>0.00%</c:formatCode>
                <c:ptCount val="6"/>
                <c:pt idx="0">
                  <c:v>0</c:v>
                </c:pt>
                <c:pt idx="1">
                  <c:v>4.9460628802087077E-2</c:v>
                </c:pt>
                <c:pt idx="2">
                  <c:v>6.4971789198802921E-2</c:v>
                </c:pt>
                <c:pt idx="3">
                  <c:v>6.4257301725242286E-2</c:v>
                </c:pt>
                <c:pt idx="4">
                  <c:v>5.8255274578933126E-2</c:v>
                </c:pt>
                <c:pt idx="5">
                  <c:v>5.1804286381974533E-2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19-4B65-81E7-BDCBF384E4D0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'1'!$BC$20:$BC$25</c:f>
              <c:numCache>
                <c:formatCode>0.00%</c:formatCode>
                <c:ptCount val="6"/>
                <c:pt idx="0">
                  <c:v>0</c:v>
                </c:pt>
                <c:pt idx="1">
                  <c:v>5.0075656722671301E-2</c:v>
                </c:pt>
                <c:pt idx="2">
                  <c:v>8.13856449045888E-2</c:v>
                </c:pt>
                <c:pt idx="3">
                  <c:v>0.10681608444928181</c:v>
                </c:pt>
                <c:pt idx="4">
                  <c:v>0.11686416570529028</c:v>
                </c:pt>
                <c:pt idx="5">
                  <c:v>0.12016454864610839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19-4B65-81E7-BDCBF384E4D0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'1'!$BC$26:$BC$31</c:f>
              <c:numCache>
                <c:formatCode>0.00%</c:formatCode>
                <c:ptCount val="6"/>
                <c:pt idx="0">
                  <c:v>0</c:v>
                </c:pt>
                <c:pt idx="1">
                  <c:v>4.8645571383825456E-2</c:v>
                </c:pt>
                <c:pt idx="2">
                  <c:v>7.590329683772272E-2</c:v>
                </c:pt>
                <c:pt idx="3">
                  <c:v>0.11080781655513987</c:v>
                </c:pt>
                <c:pt idx="4">
                  <c:v>0.15488520638899395</c:v>
                </c:pt>
                <c:pt idx="5">
                  <c:v>0.35088573038279985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19-4B65-81E7-BDCBF384E4D0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'1'!$BC$32:$BC$37</c:f>
              <c:numCache>
                <c:formatCode>0.00%</c:formatCode>
                <c:ptCount val="6"/>
                <c:pt idx="0">
                  <c:v>0</c:v>
                </c:pt>
                <c:pt idx="1">
                  <c:v>6.1847656975261088E-2</c:v>
                </c:pt>
                <c:pt idx="2">
                  <c:v>0.10778674497181047</c:v>
                </c:pt>
                <c:pt idx="3">
                  <c:v>0.18286979460961814</c:v>
                </c:pt>
                <c:pt idx="4">
                  <c:v>0.28629092084015756</c:v>
                </c:pt>
                <c:pt idx="5">
                  <c:v>0.4262285231999704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C19-4B65-81E7-BDCBF384E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5296"/>
        <c:axId val="79015872"/>
      </c:scatterChart>
      <c:valAx>
        <c:axId val="79015296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15872"/>
        <c:crosses val="autoZero"/>
        <c:crossBetween val="midCat"/>
        <c:majorUnit val="20"/>
      </c:valAx>
      <c:valAx>
        <c:axId val="79015872"/>
        <c:scaling>
          <c:orientation val="minMax"/>
          <c:max val="0.45"/>
          <c:min val="-0.45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15296"/>
        <c:crosses val="autoZero"/>
        <c:crossBetween val="midCat"/>
        <c:majorUnit val="0.1500000000000000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'2'!$BG$14:$BG$19</c:f>
              <c:numCache>
                <c:formatCode>0.00%</c:formatCode>
                <c:ptCount val="6"/>
                <c:pt idx="0">
                  <c:v>0</c:v>
                </c:pt>
                <c:pt idx="1">
                  <c:v>-3.2437330397171765E-3</c:v>
                </c:pt>
                <c:pt idx="2">
                  <c:v>-6.1314086905229076E-3</c:v>
                </c:pt>
                <c:pt idx="3">
                  <c:v>-7.9546976761371464E-3</c:v>
                </c:pt>
                <c:pt idx="4">
                  <c:v>-8.9246865033314245E-3</c:v>
                </c:pt>
                <c:pt idx="5">
                  <c:v>-9.3967025847370433E-3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B7-42FE-AF51-B6BD69BDC8C1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'2'!$BG$20:$BG$25</c:f>
              <c:numCache>
                <c:formatCode>0.00%</c:formatCode>
                <c:ptCount val="6"/>
                <c:pt idx="0">
                  <c:v>0</c:v>
                </c:pt>
                <c:pt idx="1">
                  <c:v>-3.2738737743041317E-3</c:v>
                </c:pt>
                <c:pt idx="2">
                  <c:v>-6.4747048317212912E-3</c:v>
                </c:pt>
                <c:pt idx="3">
                  <c:v>-8.7004853147582481E-3</c:v>
                </c:pt>
                <c:pt idx="4">
                  <c:v>-9.9734388121890758E-3</c:v>
                </c:pt>
                <c:pt idx="5">
                  <c:v>-1.0639655810153196E-2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8B7-42FE-AF51-B6BD69BDC8C1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'2'!$BG$26:$BG$31</c:f>
              <c:numCache>
                <c:formatCode>0.00%</c:formatCode>
                <c:ptCount val="6"/>
                <c:pt idx="0">
                  <c:v>0</c:v>
                </c:pt>
                <c:pt idx="1">
                  <c:v>-3.2129058413259358E-3</c:v>
                </c:pt>
                <c:pt idx="2">
                  <c:v>-6.3210813471974497E-3</c:v>
                </c:pt>
                <c:pt idx="3">
                  <c:v>-8.5672427365955893E-3</c:v>
                </c:pt>
                <c:pt idx="4">
                  <c:v>-9.8791372464276696E-3</c:v>
                </c:pt>
                <c:pt idx="5">
                  <c:v>-1.0304719493126372E-2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8B7-42FE-AF51-B6BD69BDC8C1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'2'!$BG$32:$BG$37</c:f>
              <c:numCache>
                <c:formatCode>0.00%</c:formatCode>
                <c:ptCount val="6"/>
                <c:pt idx="0">
                  <c:v>0</c:v>
                </c:pt>
                <c:pt idx="1">
                  <c:v>-3.6799980035271728E-3</c:v>
                </c:pt>
                <c:pt idx="2">
                  <c:v>-7.1950844943197848E-3</c:v>
                </c:pt>
                <c:pt idx="3">
                  <c:v>-9.5054054394413875E-3</c:v>
                </c:pt>
                <c:pt idx="4">
                  <c:v>-1.0551824241367238E-2</c:v>
                </c:pt>
                <c:pt idx="5">
                  <c:v>-1.0823278414056526E-2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8B7-42FE-AF51-B6BD69BDC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8176"/>
        <c:axId val="79018752"/>
      </c:scatterChart>
      <c:valAx>
        <c:axId val="7901817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>
                    <a:solidFill>
                      <a:sysClr val="windowText" lastClr="000000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18752"/>
        <c:crosses val="autoZero"/>
        <c:crossBetween val="midCat"/>
        <c:majorUnit val="20"/>
      </c:valAx>
      <c:valAx>
        <c:axId val="79018752"/>
        <c:scaling>
          <c:orientation val="minMax"/>
          <c:max val="0.1"/>
          <c:min val="-0.1"/>
        </c:scaling>
        <c:delete val="1"/>
        <c:axPos val="l"/>
        <c:numFmt formatCode="0.0%" sourceLinked="0"/>
        <c:majorTickMark val="none"/>
        <c:minorTickMark val="none"/>
        <c:tickLblPos val="nextTo"/>
        <c:crossAx val="79018176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4116576018561686"/>
          <c:w val="0.84000168544600406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'1'!$BF$14:$BF$19</c:f>
              <c:numCache>
                <c:formatCode>0.00%</c:formatCode>
                <c:ptCount val="6"/>
                <c:pt idx="0">
                  <c:v>0</c:v>
                </c:pt>
                <c:pt idx="1">
                  <c:v>-2.3787094480456648E-2</c:v>
                </c:pt>
                <c:pt idx="2">
                  <c:v>-3.0940968667626613E-2</c:v>
                </c:pt>
                <c:pt idx="3">
                  <c:v>-3.0631612986602278E-2</c:v>
                </c:pt>
                <c:pt idx="4">
                  <c:v>-2.7876592814877369E-2</c:v>
                </c:pt>
                <c:pt idx="5">
                  <c:v>-2.484567228219435E-2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C8F-4F3B-BE49-B418D8919E68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'1'!$BF$20:$BF$25</c:f>
              <c:numCache>
                <c:formatCode>0.00%</c:formatCode>
                <c:ptCount val="6"/>
                <c:pt idx="0">
                  <c:v>0</c:v>
                </c:pt>
                <c:pt idx="1">
                  <c:v>-2.4143011375455617E-2</c:v>
                </c:pt>
                <c:pt idx="2">
                  <c:v>-3.8336577603268918E-2</c:v>
                </c:pt>
                <c:pt idx="3">
                  <c:v>-4.9477157345523472E-2</c:v>
                </c:pt>
                <c:pt idx="4">
                  <c:v>-5.3769848679184537E-2</c:v>
                </c:pt>
                <c:pt idx="5">
                  <c:v>-5.5148889787569405E-2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C8F-4F3B-BE49-B418D8919E68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'1'!$BF$26:$BF$31</c:f>
              <c:numCache>
                <c:formatCode>0.00%</c:formatCode>
                <c:ptCount val="6"/>
                <c:pt idx="0">
                  <c:v>0</c:v>
                </c:pt>
                <c:pt idx="1">
                  <c:v>-2.3427955776926055E-2</c:v>
                </c:pt>
                <c:pt idx="2">
                  <c:v>-3.5889643665848937E-2</c:v>
                </c:pt>
                <c:pt idx="3">
                  <c:v>-5.1142466056612455E-2</c:v>
                </c:pt>
                <c:pt idx="4">
                  <c:v>-6.945284029424105E-2</c:v>
                </c:pt>
                <c:pt idx="5">
                  <c:v>-0.13961871870585268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8F-4F3B-BE49-B418D8919E68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'1'!$BF$32:$BF$37</c:f>
              <c:numCache>
                <c:formatCode>0.00%</c:formatCode>
                <c:ptCount val="6"/>
                <c:pt idx="0">
                  <c:v>0</c:v>
                </c:pt>
                <c:pt idx="1">
                  <c:v>-2.9482923454533357E-2</c:v>
                </c:pt>
                <c:pt idx="2">
                  <c:v>-4.9895279897331259E-2</c:v>
                </c:pt>
                <c:pt idx="3">
                  <c:v>-8.0478937288964478E-2</c:v>
                </c:pt>
                <c:pt idx="4">
                  <c:v>-0.11821928019784184</c:v>
                </c:pt>
                <c:pt idx="5">
                  <c:v>-0.16266076573686036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C8F-4F3B-BE49-B418D8919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59584"/>
        <c:axId val="80660160"/>
      </c:scatterChart>
      <c:valAx>
        <c:axId val="80659584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60160"/>
        <c:crosses val="autoZero"/>
        <c:crossBetween val="midCat"/>
        <c:majorUnit val="20"/>
      </c:valAx>
      <c:valAx>
        <c:axId val="80660160"/>
        <c:scaling>
          <c:orientation val="minMax"/>
          <c:max val="0.25"/>
          <c:min val="-0.25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59584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4359315595805162"/>
          <c:h val="0.6818376504729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'1'!$BG$14:$BG$19</c:f>
              <c:numCache>
                <c:formatCode>0.00%</c:formatCode>
                <c:ptCount val="6"/>
                <c:pt idx="0">
                  <c:v>0</c:v>
                </c:pt>
                <c:pt idx="1">
                  <c:v>6.5795623585396066E-3</c:v>
                </c:pt>
                <c:pt idx="2">
                  <c:v>1.3258302482572631E-2</c:v>
                </c:pt>
                <c:pt idx="3">
                  <c:v>1.750771005170014E-2</c:v>
                </c:pt>
                <c:pt idx="4">
                  <c:v>1.9685326014606878E-2</c:v>
                </c:pt>
                <c:pt idx="5">
                  <c:v>2.0696870652164658E-2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50-45CC-BC5D-2D5CC180B191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'1'!$BG$20:$BG$25</c:f>
              <c:numCache>
                <c:formatCode>0.00%</c:formatCode>
                <c:ptCount val="6"/>
                <c:pt idx="0">
                  <c:v>0</c:v>
                </c:pt>
                <c:pt idx="1">
                  <c:v>6.6798005574625801E-3</c:v>
                </c:pt>
                <c:pt idx="2">
                  <c:v>1.5009863975147853E-2</c:v>
                </c:pt>
                <c:pt idx="3">
                  <c:v>2.2011071593723078E-2</c:v>
                </c:pt>
                <c:pt idx="4">
                  <c:v>2.634081927052322E-2</c:v>
                </c:pt>
                <c:pt idx="5">
                  <c:v>2.8671818206071807E-2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50-45CC-BC5D-2D5CC180B191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'1'!$BG$26:$BG$31</c:f>
              <c:numCache>
                <c:formatCode>0.00%</c:formatCode>
                <c:ptCount val="6"/>
                <c:pt idx="0">
                  <c:v>0</c:v>
                </c:pt>
                <c:pt idx="1">
                  <c:v>6.4784709987900212E-3</c:v>
                </c:pt>
                <c:pt idx="2">
                  <c:v>1.425845162086533E-2</c:v>
                </c:pt>
                <c:pt idx="3">
                  <c:v>2.150163809146843E-2</c:v>
                </c:pt>
                <c:pt idx="4">
                  <c:v>2.7181851088677895E-2</c:v>
                </c:pt>
                <c:pt idx="5">
                  <c:v>3.3655412036614971E-2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F50-45CC-BC5D-2D5CC180B191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'1'!$BG$32:$BG$37</c:f>
              <c:numCache>
                <c:formatCode>0.00%</c:formatCode>
                <c:ptCount val="6"/>
                <c:pt idx="0">
                  <c:v>0</c:v>
                </c:pt>
                <c:pt idx="1">
                  <c:v>8.1901796987535313E-3</c:v>
                </c:pt>
                <c:pt idx="2">
                  <c:v>1.9160203555237693E-2</c:v>
                </c:pt>
                <c:pt idx="3">
                  <c:v>3.0949007369599945E-2</c:v>
                </c:pt>
                <c:pt idx="4">
                  <c:v>4.1223707229755602E-2</c:v>
                </c:pt>
                <c:pt idx="5">
                  <c:v>4.907447717593387E-2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F50-45CC-BC5D-2D5CC180B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62464"/>
        <c:axId val="80663040"/>
      </c:scatterChart>
      <c:valAx>
        <c:axId val="80662464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>
                    <a:solidFill>
                      <a:sysClr val="windowText" lastClr="000000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723021269423634"/>
              <c:y val="0.87993483880581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63040"/>
        <c:crosses val="autoZero"/>
        <c:crossBetween val="midCat"/>
        <c:majorUnit val="20"/>
      </c:valAx>
      <c:valAx>
        <c:axId val="80663040"/>
        <c:scaling>
          <c:orientation val="minMax"/>
          <c:max val="0.1"/>
          <c:min val="-0.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62464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'2'!$BF$14:$BF$19</c:f>
              <c:numCache>
                <c:formatCode>0.00%</c:formatCode>
                <c:ptCount val="6"/>
                <c:pt idx="0">
                  <c:v>0</c:v>
                </c:pt>
                <c:pt idx="1">
                  <c:v>1.2043571483361545E-2</c:v>
                </c:pt>
                <c:pt idx="2">
                  <c:v>1.4043675805798163E-2</c:v>
                </c:pt>
                <c:pt idx="3">
                  <c:v>1.3968217384521423E-2</c:v>
                </c:pt>
                <c:pt idx="4">
                  <c:v>1.3253919366400916E-2</c:v>
                </c:pt>
                <c:pt idx="5">
                  <c:v>1.2375044621549768E-2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2F-4A61-AB93-2241A47F6C21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'2'!$BF$20:$BF$25</c:f>
              <c:numCache>
                <c:formatCode>0.00%</c:formatCode>
                <c:ptCount val="6"/>
                <c:pt idx="0">
                  <c:v>0</c:v>
                </c:pt>
                <c:pt idx="1">
                  <c:v>1.2156487032956107E-2</c:v>
                </c:pt>
                <c:pt idx="2">
                  <c:v>1.5587430484403421E-2</c:v>
                </c:pt>
                <c:pt idx="3">
                  <c:v>1.7106465340924595E-2</c:v>
                </c:pt>
                <c:pt idx="4">
                  <c:v>1.7476556831203104E-2</c:v>
                </c:pt>
                <c:pt idx="5">
                  <c:v>1.7573129923837662E-2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2F-4A61-AB93-2241A47F6C21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'2'!$BF$26:$BF$31</c:f>
              <c:numCache>
                <c:formatCode>0.00%</c:formatCode>
                <c:ptCount val="6"/>
                <c:pt idx="0">
                  <c:v>0</c:v>
                </c:pt>
                <c:pt idx="1">
                  <c:v>1.1928104185361806E-2</c:v>
                </c:pt>
                <c:pt idx="2">
                  <c:v>1.5129438370868149E-2</c:v>
                </c:pt>
                <c:pt idx="3">
                  <c:v>1.7262895714664245E-2</c:v>
                </c:pt>
                <c:pt idx="4">
                  <c:v>1.8017988030094665E-2</c:v>
                </c:pt>
                <c:pt idx="5">
                  <c:v>1.1155211439870728E-2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22F-4A61-AB93-2241A47F6C21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'2'!$BF$32:$BF$37</c:f>
              <c:numCache>
                <c:formatCode>0.00%</c:formatCode>
                <c:ptCount val="6"/>
                <c:pt idx="0">
                  <c:v>0</c:v>
                </c:pt>
                <c:pt idx="1">
                  <c:v>1.3679764975506993E-2</c:v>
                </c:pt>
                <c:pt idx="2">
                  <c:v>1.7147319290200858E-2</c:v>
                </c:pt>
                <c:pt idx="3">
                  <c:v>1.7779988863593936E-2</c:v>
                </c:pt>
                <c:pt idx="4">
                  <c:v>1.4335359817174152E-2</c:v>
                </c:pt>
                <c:pt idx="5">
                  <c:v>7.0920098404246845E-3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22F-4A61-AB93-2241A47F6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65344"/>
        <c:axId val="80665920"/>
      </c:scatterChart>
      <c:valAx>
        <c:axId val="80665344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65920"/>
        <c:crosses val="autoZero"/>
        <c:crossBetween val="midCat"/>
        <c:majorUnit val="20"/>
      </c:valAx>
      <c:valAx>
        <c:axId val="80665920"/>
        <c:scaling>
          <c:orientation val="minMax"/>
          <c:max val="0.25"/>
          <c:min val="-0.25"/>
        </c:scaling>
        <c:delete val="1"/>
        <c:axPos val="l"/>
        <c:numFmt formatCode="0.0%" sourceLinked="0"/>
        <c:majorTickMark val="none"/>
        <c:minorTickMark val="none"/>
        <c:tickLblPos val="nextTo"/>
        <c:crossAx val="80665344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'3'!$BG$14:$BG$19</c:f>
              <c:numCache>
                <c:formatCode>0.00%</c:formatCode>
                <c:ptCount val="6"/>
                <c:pt idx="0">
                  <c:v>0</c:v>
                </c:pt>
                <c:pt idx="1">
                  <c:v>-2.3705871256079498E-2</c:v>
                </c:pt>
                <c:pt idx="2">
                  <c:v>-4.4564334287024922E-2</c:v>
                </c:pt>
                <c:pt idx="3">
                  <c:v>-5.7401030592730211E-2</c:v>
                </c:pt>
                <c:pt idx="4">
                  <c:v>-6.4083107549508453E-2</c:v>
                </c:pt>
                <c:pt idx="5">
                  <c:v>-6.7289096405375101E-2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B2-41FB-A5D6-4B74BA0C03BE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'3'!$BG$20:$BG$25</c:f>
              <c:numCache>
                <c:formatCode>0.00%</c:formatCode>
                <c:ptCount val="6"/>
                <c:pt idx="0">
                  <c:v>0</c:v>
                </c:pt>
                <c:pt idx="1">
                  <c:v>-2.3946259293496055E-2</c:v>
                </c:pt>
                <c:pt idx="2">
                  <c:v>-4.7611436854074853E-2</c:v>
                </c:pt>
                <c:pt idx="3">
                  <c:v>-6.4315744051173976E-2</c:v>
                </c:pt>
                <c:pt idx="4">
                  <c:v>-7.3863924690413973E-2</c:v>
                </c:pt>
                <c:pt idx="5">
                  <c:v>-7.8837157435884E-2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2B2-41FB-A5D6-4B74BA0C03BE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'3'!$BG$26:$BG$31</c:f>
              <c:numCache>
                <c:formatCode>0.00%</c:formatCode>
                <c:ptCount val="6"/>
                <c:pt idx="0">
                  <c:v>0</c:v>
                </c:pt>
                <c:pt idx="1">
                  <c:v>-2.3460998795483745E-2</c:v>
                </c:pt>
                <c:pt idx="2">
                  <c:v>-4.6260540657216624E-2</c:v>
                </c:pt>
                <c:pt idx="3">
                  <c:v>-6.3263634745670372E-2</c:v>
                </c:pt>
                <c:pt idx="4">
                  <c:v>-7.396467448813103E-2</c:v>
                </c:pt>
                <c:pt idx="5">
                  <c:v>-8.0834917358723835E-2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2B2-41FB-A5D6-4B74BA0C03BE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'3'!$BG$32:$BG$37</c:f>
              <c:numCache>
                <c:formatCode>0.00%</c:formatCode>
                <c:ptCount val="6"/>
                <c:pt idx="0">
                  <c:v>0</c:v>
                </c:pt>
                <c:pt idx="1">
                  <c:v>-2.7300209671760851E-2</c:v>
                </c:pt>
                <c:pt idx="2">
                  <c:v>-5.4434478868828691E-2</c:v>
                </c:pt>
                <c:pt idx="3">
                  <c:v>-7.4929581655419727E-2</c:v>
                </c:pt>
                <c:pt idx="4">
                  <c:v>-8.7597533864981827E-2</c:v>
                </c:pt>
                <c:pt idx="5">
                  <c:v>-9.4589369207994545E-2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2B2-41FB-A5D6-4B74BA0C0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14400"/>
        <c:axId val="80414976"/>
      </c:scatterChart>
      <c:valAx>
        <c:axId val="80414400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>
                    <a:solidFill>
                      <a:sysClr val="windowText" lastClr="000000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14976"/>
        <c:crosses val="autoZero"/>
        <c:crossBetween val="midCat"/>
        <c:majorUnit val="20"/>
      </c:valAx>
      <c:valAx>
        <c:axId val="80414976"/>
        <c:scaling>
          <c:orientation val="minMax"/>
          <c:max val="0.1"/>
          <c:min val="-0.1"/>
        </c:scaling>
        <c:delete val="1"/>
        <c:axPos val="l"/>
        <c:numFmt formatCode="0.0%" sourceLinked="0"/>
        <c:majorTickMark val="out"/>
        <c:minorTickMark val="none"/>
        <c:tickLblPos val="nextTo"/>
        <c:crossAx val="80414400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'3'!$BF$14:$BF$19</c:f>
              <c:numCache>
                <c:formatCode>0.00%</c:formatCode>
                <c:ptCount val="6"/>
                <c:pt idx="0">
                  <c:v>0</c:v>
                </c:pt>
                <c:pt idx="1">
                  <c:v>9.3259876828626617E-2</c:v>
                </c:pt>
                <c:pt idx="2">
                  <c:v>0.11215530828396396</c:v>
                </c:pt>
                <c:pt idx="3">
                  <c:v>0.11139654918998176</c:v>
                </c:pt>
                <c:pt idx="4">
                  <c:v>0.10441705547522592</c:v>
                </c:pt>
                <c:pt idx="5">
                  <c:v>9.6245284898419103E-2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E4-4F43-9CDC-C7C9B4176CBE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'3'!$BF$20:$BF$25</c:f>
              <c:numCache>
                <c:formatCode>0.00%</c:formatCode>
                <c:ptCount val="6"/>
                <c:pt idx="0">
                  <c:v>0</c:v>
                </c:pt>
                <c:pt idx="1">
                  <c:v>9.4271545058428607E-2</c:v>
                </c:pt>
                <c:pt idx="2">
                  <c:v>0.12894618726806401</c:v>
                </c:pt>
                <c:pt idx="3">
                  <c:v>0.1501477528842885</c:v>
                </c:pt>
                <c:pt idx="4">
                  <c:v>0.15725066530520307</c:v>
                </c:pt>
                <c:pt idx="5">
                  <c:v>0.15942357789090059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E4-4F43-9CDC-C7C9B4176CBE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'3'!$BF$26:$BF$31</c:f>
              <c:numCache>
                <c:formatCode>0.00%</c:formatCode>
                <c:ptCount val="6"/>
                <c:pt idx="0">
                  <c:v>0</c:v>
                </c:pt>
                <c:pt idx="1">
                  <c:v>9.2230791599388601E-2</c:v>
                </c:pt>
                <c:pt idx="2">
                  <c:v>0.12366238558280869</c:v>
                </c:pt>
                <c:pt idx="3">
                  <c:v>0.15296620569822236</c:v>
                </c:pt>
                <c:pt idx="4">
                  <c:v>0.17928077088442806</c:v>
                </c:pt>
                <c:pt idx="5">
                  <c:v>0.23424517023278715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E4-4F43-9CDC-C7C9B4176CBE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'3'!$BF$32:$BF$37</c:f>
              <c:numCache>
                <c:formatCode>0.00%</c:formatCode>
                <c:ptCount val="6"/>
                <c:pt idx="0">
                  <c:v>0</c:v>
                </c:pt>
                <c:pt idx="1">
                  <c:v>0.10853582198304342</c:v>
                </c:pt>
                <c:pt idx="2">
                  <c:v>0.15086315123998673</c:v>
                </c:pt>
                <c:pt idx="3">
                  <c:v>0.19183095077826662</c:v>
                </c:pt>
                <c:pt idx="4">
                  <c:v>0.22253994575213948</c:v>
                </c:pt>
                <c:pt idx="5">
                  <c:v>0.24379724463642405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E4-4F43-9CDC-C7C9B417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17280"/>
        <c:axId val="80417856"/>
      </c:scatterChart>
      <c:valAx>
        <c:axId val="80417280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17856"/>
        <c:crosses val="autoZero"/>
        <c:crossBetween val="midCat"/>
        <c:majorUnit val="20"/>
      </c:valAx>
      <c:valAx>
        <c:axId val="80417856"/>
        <c:scaling>
          <c:orientation val="minMax"/>
          <c:max val="0.25"/>
          <c:min val="-0.25"/>
        </c:scaling>
        <c:delete val="1"/>
        <c:axPos val="l"/>
        <c:numFmt formatCode="0.0%" sourceLinked="0"/>
        <c:majorTickMark val="none"/>
        <c:minorTickMark val="none"/>
        <c:tickLblPos val="nextTo"/>
        <c:crossAx val="80417280"/>
        <c:crosses val="autoZero"/>
        <c:crossBetween val="midCat"/>
        <c:majorUnit val="0.1"/>
      </c:valAx>
      <c:spPr>
        <a:solidFill>
          <a:schemeClr val="bg1"/>
        </a:solidFill>
        <a:ln w="952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1</xdr:row>
      <xdr:rowOff>0</xdr:rowOff>
    </xdr:from>
    <xdr:to>
      <xdr:col>45</xdr:col>
      <xdr:colOff>476249</xdr:colOff>
      <xdr:row>21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9525</xdr:colOff>
      <xdr:row>22</xdr:row>
      <xdr:rowOff>171450</xdr:rowOff>
    </xdr:from>
    <xdr:to>
      <xdr:col>45</xdr:col>
      <xdr:colOff>485774</xdr:colOff>
      <xdr:row>43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605117</xdr:colOff>
      <xdr:row>0</xdr:row>
      <xdr:rowOff>201705</xdr:rowOff>
    </xdr:from>
    <xdr:to>
      <xdr:col>79</xdr:col>
      <xdr:colOff>593912</xdr:colOff>
      <xdr:row>22</xdr:row>
      <xdr:rowOff>11205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23</xdr:row>
      <xdr:rowOff>0</xdr:rowOff>
    </xdr:from>
    <xdr:to>
      <xdr:col>79</xdr:col>
      <xdr:colOff>593913</xdr:colOff>
      <xdr:row>44</xdr:row>
      <xdr:rowOff>11205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45</xdr:row>
      <xdr:rowOff>0</xdr:rowOff>
    </xdr:from>
    <xdr:to>
      <xdr:col>79</xdr:col>
      <xdr:colOff>593913</xdr:colOff>
      <xdr:row>66</xdr:row>
      <xdr:rowOff>56029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0</xdr:colOff>
      <xdr:row>23</xdr:row>
      <xdr:rowOff>0</xdr:rowOff>
    </xdr:from>
    <xdr:to>
      <xdr:col>89</xdr:col>
      <xdr:colOff>593913</xdr:colOff>
      <xdr:row>44</xdr:row>
      <xdr:rowOff>11205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81</xdr:col>
      <xdr:colOff>0</xdr:colOff>
      <xdr:row>1</xdr:row>
      <xdr:rowOff>0</xdr:rowOff>
    </xdr:from>
    <xdr:to>
      <xdr:col>89</xdr:col>
      <xdr:colOff>593913</xdr:colOff>
      <xdr:row>22</xdr:row>
      <xdr:rowOff>11206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81</xdr:col>
      <xdr:colOff>0</xdr:colOff>
      <xdr:row>45</xdr:row>
      <xdr:rowOff>0</xdr:rowOff>
    </xdr:from>
    <xdr:to>
      <xdr:col>89</xdr:col>
      <xdr:colOff>593913</xdr:colOff>
      <xdr:row>66</xdr:row>
      <xdr:rowOff>56029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67</xdr:row>
      <xdr:rowOff>0</xdr:rowOff>
    </xdr:from>
    <xdr:to>
      <xdr:col>89</xdr:col>
      <xdr:colOff>593913</xdr:colOff>
      <xdr:row>88</xdr:row>
      <xdr:rowOff>56029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71</xdr:col>
      <xdr:colOff>0</xdr:colOff>
      <xdr:row>67</xdr:row>
      <xdr:rowOff>0</xdr:rowOff>
    </xdr:from>
    <xdr:to>
      <xdr:col>79</xdr:col>
      <xdr:colOff>593912</xdr:colOff>
      <xdr:row>88</xdr:row>
      <xdr:rowOff>56029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1009650</xdr:colOff>
      <xdr:row>1</xdr:row>
      <xdr:rowOff>19050</xdr:rowOff>
    </xdr:from>
    <xdr:to>
      <xdr:col>45</xdr:col>
      <xdr:colOff>466724</xdr:colOff>
      <xdr:row>21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23</xdr:row>
      <xdr:rowOff>0</xdr:rowOff>
    </xdr:from>
    <xdr:to>
      <xdr:col>45</xdr:col>
      <xdr:colOff>476249</xdr:colOff>
      <xdr:row>43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0</xdr:colOff>
      <xdr:row>0</xdr:row>
      <xdr:rowOff>201705</xdr:rowOff>
    </xdr:from>
    <xdr:to>
      <xdr:col>79</xdr:col>
      <xdr:colOff>593912</xdr:colOff>
      <xdr:row>22</xdr:row>
      <xdr:rowOff>11205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23</xdr:row>
      <xdr:rowOff>0</xdr:rowOff>
    </xdr:from>
    <xdr:to>
      <xdr:col>79</xdr:col>
      <xdr:colOff>593913</xdr:colOff>
      <xdr:row>44</xdr:row>
      <xdr:rowOff>11205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45</xdr:row>
      <xdr:rowOff>0</xdr:rowOff>
    </xdr:from>
    <xdr:to>
      <xdr:col>79</xdr:col>
      <xdr:colOff>593913</xdr:colOff>
      <xdr:row>66</xdr:row>
      <xdr:rowOff>56029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0</xdr:colOff>
      <xdr:row>23</xdr:row>
      <xdr:rowOff>0</xdr:rowOff>
    </xdr:from>
    <xdr:to>
      <xdr:col>89</xdr:col>
      <xdr:colOff>593913</xdr:colOff>
      <xdr:row>44</xdr:row>
      <xdr:rowOff>11205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81</xdr:col>
      <xdr:colOff>0</xdr:colOff>
      <xdr:row>1</xdr:row>
      <xdr:rowOff>0</xdr:rowOff>
    </xdr:from>
    <xdr:to>
      <xdr:col>89</xdr:col>
      <xdr:colOff>593913</xdr:colOff>
      <xdr:row>22</xdr:row>
      <xdr:rowOff>11206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81</xdr:col>
      <xdr:colOff>0</xdr:colOff>
      <xdr:row>45</xdr:row>
      <xdr:rowOff>0</xdr:rowOff>
    </xdr:from>
    <xdr:to>
      <xdr:col>89</xdr:col>
      <xdr:colOff>593913</xdr:colOff>
      <xdr:row>66</xdr:row>
      <xdr:rowOff>56029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67</xdr:row>
      <xdr:rowOff>0</xdr:rowOff>
    </xdr:from>
    <xdr:to>
      <xdr:col>89</xdr:col>
      <xdr:colOff>593913</xdr:colOff>
      <xdr:row>88</xdr:row>
      <xdr:rowOff>56029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71</xdr:col>
      <xdr:colOff>0</xdr:colOff>
      <xdr:row>67</xdr:row>
      <xdr:rowOff>0</xdr:rowOff>
    </xdr:from>
    <xdr:to>
      <xdr:col>79</xdr:col>
      <xdr:colOff>593912</xdr:colOff>
      <xdr:row>88</xdr:row>
      <xdr:rowOff>56029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1009650</xdr:colOff>
      <xdr:row>1</xdr:row>
      <xdr:rowOff>19050</xdr:rowOff>
    </xdr:from>
    <xdr:to>
      <xdr:col>45</xdr:col>
      <xdr:colOff>466724</xdr:colOff>
      <xdr:row>21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23</xdr:row>
      <xdr:rowOff>0</xdr:rowOff>
    </xdr:from>
    <xdr:to>
      <xdr:col>45</xdr:col>
      <xdr:colOff>476249</xdr:colOff>
      <xdr:row>43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0</xdr:colOff>
      <xdr:row>0</xdr:row>
      <xdr:rowOff>201705</xdr:rowOff>
    </xdr:from>
    <xdr:to>
      <xdr:col>79</xdr:col>
      <xdr:colOff>593912</xdr:colOff>
      <xdr:row>22</xdr:row>
      <xdr:rowOff>11205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23</xdr:row>
      <xdr:rowOff>0</xdr:rowOff>
    </xdr:from>
    <xdr:to>
      <xdr:col>79</xdr:col>
      <xdr:colOff>593913</xdr:colOff>
      <xdr:row>44</xdr:row>
      <xdr:rowOff>11205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45</xdr:row>
      <xdr:rowOff>0</xdr:rowOff>
    </xdr:from>
    <xdr:to>
      <xdr:col>79</xdr:col>
      <xdr:colOff>593913</xdr:colOff>
      <xdr:row>66</xdr:row>
      <xdr:rowOff>56029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0</xdr:colOff>
      <xdr:row>23</xdr:row>
      <xdr:rowOff>0</xdr:rowOff>
    </xdr:from>
    <xdr:to>
      <xdr:col>89</xdr:col>
      <xdr:colOff>593913</xdr:colOff>
      <xdr:row>44</xdr:row>
      <xdr:rowOff>11205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81</xdr:col>
      <xdr:colOff>0</xdr:colOff>
      <xdr:row>1</xdr:row>
      <xdr:rowOff>0</xdr:rowOff>
    </xdr:from>
    <xdr:to>
      <xdr:col>89</xdr:col>
      <xdr:colOff>593913</xdr:colOff>
      <xdr:row>22</xdr:row>
      <xdr:rowOff>11206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81</xdr:col>
      <xdr:colOff>0</xdr:colOff>
      <xdr:row>45</xdr:row>
      <xdr:rowOff>0</xdr:rowOff>
    </xdr:from>
    <xdr:to>
      <xdr:col>89</xdr:col>
      <xdr:colOff>593913</xdr:colOff>
      <xdr:row>66</xdr:row>
      <xdr:rowOff>56029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67</xdr:row>
      <xdr:rowOff>0</xdr:rowOff>
    </xdr:from>
    <xdr:to>
      <xdr:col>89</xdr:col>
      <xdr:colOff>593913</xdr:colOff>
      <xdr:row>88</xdr:row>
      <xdr:rowOff>56029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71</xdr:col>
      <xdr:colOff>0</xdr:colOff>
      <xdr:row>67</xdr:row>
      <xdr:rowOff>0</xdr:rowOff>
    </xdr:from>
    <xdr:to>
      <xdr:col>79</xdr:col>
      <xdr:colOff>593912</xdr:colOff>
      <xdr:row>88</xdr:row>
      <xdr:rowOff>56029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10</xdr:col>
      <xdr:colOff>0</xdr:colOff>
      <xdr:row>22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19</xdr:col>
      <xdr:colOff>606260</xdr:colOff>
      <xdr:row>22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10</xdr:col>
      <xdr:colOff>593913</xdr:colOff>
      <xdr:row>27</xdr:row>
      <xdr:rowOff>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6</xdr:row>
      <xdr:rowOff>0</xdr:rowOff>
    </xdr:from>
    <xdr:to>
      <xdr:col>20</xdr:col>
      <xdr:colOff>593913</xdr:colOff>
      <xdr:row>27</xdr:row>
      <xdr:rowOff>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33</xdr:row>
      <xdr:rowOff>0</xdr:rowOff>
    </xdr:from>
    <xdr:to>
      <xdr:col>10</xdr:col>
      <xdr:colOff>594933</xdr:colOff>
      <xdr:row>54</xdr:row>
      <xdr:rowOff>0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20</xdr:col>
      <xdr:colOff>594933</xdr:colOff>
      <xdr:row>54</xdr:row>
      <xdr:rowOff>0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441772</xdr:colOff>
      <xdr:row>2</xdr:row>
      <xdr:rowOff>0</xdr:rowOff>
    </xdr:from>
    <xdr:to>
      <xdr:col>36</xdr:col>
      <xdr:colOff>430567</xdr:colOff>
      <xdr:row>22</xdr:row>
      <xdr:rowOff>153651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489857</xdr:colOff>
      <xdr:row>20</xdr:row>
      <xdr:rowOff>40823</xdr:rowOff>
    </xdr:from>
    <xdr:to>
      <xdr:col>36</xdr:col>
      <xdr:colOff>450273</xdr:colOff>
      <xdr:row>41</xdr:row>
      <xdr:rowOff>40823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257735</xdr:colOff>
      <xdr:row>2</xdr:row>
      <xdr:rowOff>1</xdr:rowOff>
    </xdr:from>
    <xdr:to>
      <xdr:col>25</xdr:col>
      <xdr:colOff>246530</xdr:colOff>
      <xdr:row>23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312963</xdr:colOff>
      <xdr:row>20</xdr:row>
      <xdr:rowOff>68036</xdr:rowOff>
    </xdr:from>
    <xdr:to>
      <xdr:col>25</xdr:col>
      <xdr:colOff>294555</xdr:colOff>
      <xdr:row>41</xdr:row>
      <xdr:rowOff>68036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</xdr:colOff>
      <xdr:row>2</xdr:row>
      <xdr:rowOff>0</xdr:rowOff>
    </xdr:from>
    <xdr:to>
      <xdr:col>13</xdr:col>
      <xdr:colOff>-1</xdr:colOff>
      <xdr:row>23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</xdr:colOff>
      <xdr:row>20</xdr:row>
      <xdr:rowOff>122464</xdr:rowOff>
    </xdr:from>
    <xdr:to>
      <xdr:col>13</xdr:col>
      <xdr:colOff>0</xdr:colOff>
      <xdr:row>41</xdr:row>
      <xdr:rowOff>122464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313763</xdr:colOff>
      <xdr:row>57</xdr:row>
      <xdr:rowOff>152788</xdr:rowOff>
    </xdr:from>
    <xdr:to>
      <xdr:col>25</xdr:col>
      <xdr:colOff>302558</xdr:colOff>
      <xdr:row>78</xdr:row>
      <xdr:rowOff>152788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-1</xdr:colOff>
      <xdr:row>39</xdr:row>
      <xdr:rowOff>29523</xdr:rowOff>
    </xdr:from>
    <xdr:to>
      <xdr:col>13</xdr:col>
      <xdr:colOff>-1</xdr:colOff>
      <xdr:row>60</xdr:row>
      <xdr:rowOff>29523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</xdr:colOff>
      <xdr:row>57</xdr:row>
      <xdr:rowOff>130375</xdr:rowOff>
    </xdr:from>
    <xdr:to>
      <xdr:col>13</xdr:col>
      <xdr:colOff>0</xdr:colOff>
      <xdr:row>80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324969</xdr:colOff>
      <xdr:row>39</xdr:row>
      <xdr:rowOff>29523</xdr:rowOff>
    </xdr:from>
    <xdr:to>
      <xdr:col>25</xdr:col>
      <xdr:colOff>313764</xdr:colOff>
      <xdr:row>60</xdr:row>
      <xdr:rowOff>29522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497800</xdr:colOff>
      <xdr:row>57</xdr:row>
      <xdr:rowOff>123265</xdr:rowOff>
    </xdr:from>
    <xdr:to>
      <xdr:col>36</xdr:col>
      <xdr:colOff>486595</xdr:colOff>
      <xdr:row>78</xdr:row>
      <xdr:rowOff>123265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549828</xdr:colOff>
      <xdr:row>39</xdr:row>
      <xdr:rowOff>0</xdr:rowOff>
    </xdr:from>
    <xdr:to>
      <xdr:col>36</xdr:col>
      <xdr:colOff>538623</xdr:colOff>
      <xdr:row>59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wittgensteincentre.org/dataexplore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ountrymeters.info/en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5"/>
  <sheetViews>
    <sheetView workbookViewId="0">
      <selection activeCell="H10" sqref="H10:H225"/>
    </sheetView>
  </sheetViews>
  <sheetFormatPr defaultRowHeight="15" x14ac:dyDescent="0.25"/>
  <sheetData>
    <row r="1" spans="1:8" x14ac:dyDescent="0.25">
      <c r="A1" t="s">
        <v>105</v>
      </c>
    </row>
    <row r="2" spans="1:8" x14ac:dyDescent="0.25">
      <c r="A2" t="s">
        <v>155</v>
      </c>
      <c r="C2" s="101" t="s">
        <v>156</v>
      </c>
    </row>
    <row r="3" spans="1:8" x14ac:dyDescent="0.25">
      <c r="A3" t="s">
        <v>106</v>
      </c>
    </row>
    <row r="5" spans="1:8" x14ac:dyDescent="0.25">
      <c r="A5" t="s">
        <v>107</v>
      </c>
    </row>
    <row r="6" spans="1:8" x14ac:dyDescent="0.25">
      <c r="A6" t="s">
        <v>108</v>
      </c>
    </row>
    <row r="7" spans="1:8" x14ac:dyDescent="0.25">
      <c r="A7" t="s">
        <v>109</v>
      </c>
    </row>
    <row r="8" spans="1:8" x14ac:dyDescent="0.25">
      <c r="A8" t="s">
        <v>110</v>
      </c>
      <c r="D8" s="99" t="s">
        <v>13</v>
      </c>
      <c r="E8" s="100" t="s">
        <v>148</v>
      </c>
      <c r="F8" s="118" t="s">
        <v>151</v>
      </c>
      <c r="G8" s="126" t="s">
        <v>154</v>
      </c>
      <c r="H8" s="171" t="s">
        <v>174</v>
      </c>
    </row>
    <row r="9" spans="1:8" x14ac:dyDescent="0.25">
      <c r="B9" t="s">
        <v>111</v>
      </c>
      <c r="C9" t="s">
        <v>112</v>
      </c>
    </row>
    <row r="10" spans="1:8" x14ac:dyDescent="0.25">
      <c r="B10">
        <v>1970</v>
      </c>
      <c r="C10" t="s">
        <v>113</v>
      </c>
      <c r="D10" s="99">
        <v>1</v>
      </c>
      <c r="E10" s="100">
        <v>1</v>
      </c>
      <c r="F10" s="118">
        <v>1</v>
      </c>
      <c r="G10" s="126">
        <v>1</v>
      </c>
      <c r="H10" s="171">
        <v>1</v>
      </c>
    </row>
    <row r="11" spans="1:8" x14ac:dyDescent="0.25">
      <c r="B11">
        <v>1975</v>
      </c>
      <c r="C11" t="s">
        <v>113</v>
      </c>
      <c r="D11" s="99">
        <v>1</v>
      </c>
      <c r="E11" s="100">
        <v>1</v>
      </c>
      <c r="F11" s="118">
        <v>1</v>
      </c>
      <c r="G11" s="126">
        <v>1</v>
      </c>
      <c r="H11" s="171">
        <v>1</v>
      </c>
    </row>
    <row r="12" spans="1:8" x14ac:dyDescent="0.25">
      <c r="B12">
        <v>1980</v>
      </c>
      <c r="C12" t="s">
        <v>113</v>
      </c>
      <c r="D12" s="99">
        <v>1</v>
      </c>
      <c r="E12" s="100">
        <v>1</v>
      </c>
      <c r="F12" s="118">
        <v>1</v>
      </c>
      <c r="G12" s="126">
        <v>1</v>
      </c>
      <c r="H12" s="171">
        <v>1</v>
      </c>
    </row>
    <row r="13" spans="1:8" x14ac:dyDescent="0.25">
      <c r="B13">
        <v>1985</v>
      </c>
      <c r="C13" t="s">
        <v>113</v>
      </c>
      <c r="D13" s="99">
        <v>1</v>
      </c>
      <c r="E13" s="100">
        <v>1</v>
      </c>
      <c r="F13" s="118">
        <v>1</v>
      </c>
      <c r="G13" s="126">
        <v>1</v>
      </c>
      <c r="H13" s="171">
        <v>1</v>
      </c>
    </row>
    <row r="14" spans="1:8" x14ac:dyDescent="0.25">
      <c r="B14">
        <v>1990</v>
      </c>
      <c r="C14" t="s">
        <v>113</v>
      </c>
      <c r="D14" s="99">
        <v>1</v>
      </c>
      <c r="E14" s="100">
        <v>1</v>
      </c>
      <c r="F14" s="118">
        <v>1</v>
      </c>
      <c r="G14" s="126">
        <v>1</v>
      </c>
      <c r="H14" s="171">
        <v>1</v>
      </c>
    </row>
    <row r="15" spans="1:8" x14ac:dyDescent="0.25">
      <c r="B15">
        <v>1995</v>
      </c>
      <c r="C15" t="s">
        <v>113</v>
      </c>
      <c r="D15" s="99">
        <v>1</v>
      </c>
      <c r="E15" s="100">
        <v>1</v>
      </c>
      <c r="F15" s="118">
        <v>1</v>
      </c>
      <c r="G15" s="126">
        <v>1</v>
      </c>
      <c r="H15" s="171">
        <v>1</v>
      </c>
    </row>
    <row r="16" spans="1:8" x14ac:dyDescent="0.25">
      <c r="B16">
        <v>2000</v>
      </c>
      <c r="C16" t="s">
        <v>113</v>
      </c>
      <c r="D16" s="99">
        <v>1</v>
      </c>
      <c r="E16" s="100">
        <v>1</v>
      </c>
      <c r="F16" s="118">
        <v>1</v>
      </c>
      <c r="G16" s="126">
        <v>1</v>
      </c>
      <c r="H16" s="171">
        <v>1</v>
      </c>
    </row>
    <row r="17" spans="2:8" x14ac:dyDescent="0.25">
      <c r="B17">
        <v>2005</v>
      </c>
      <c r="C17" t="s">
        <v>113</v>
      </c>
      <c r="D17" s="99">
        <v>1</v>
      </c>
      <c r="E17" s="100">
        <v>1</v>
      </c>
      <c r="F17" s="118">
        <v>1</v>
      </c>
      <c r="G17" s="126">
        <v>1</v>
      </c>
      <c r="H17" s="171">
        <v>1</v>
      </c>
    </row>
    <row r="18" spans="2:8" x14ac:dyDescent="0.25">
      <c r="B18">
        <v>2010</v>
      </c>
      <c r="C18" t="s">
        <v>113</v>
      </c>
      <c r="D18" s="99">
        <v>1</v>
      </c>
      <c r="E18" s="100">
        <v>1</v>
      </c>
      <c r="F18" s="118">
        <v>1</v>
      </c>
      <c r="G18" s="126">
        <v>1</v>
      </c>
      <c r="H18" s="171">
        <v>1</v>
      </c>
    </row>
    <row r="19" spans="2:8" x14ac:dyDescent="0.25">
      <c r="B19">
        <v>2015</v>
      </c>
      <c r="C19" t="s">
        <v>113</v>
      </c>
      <c r="D19" s="99">
        <v>1</v>
      </c>
      <c r="E19" s="100">
        <v>1</v>
      </c>
      <c r="F19" s="118">
        <v>1</v>
      </c>
      <c r="G19" s="126">
        <v>1</v>
      </c>
      <c r="H19" s="171">
        <v>1</v>
      </c>
    </row>
    <row r="20" spans="2:8" x14ac:dyDescent="0.25">
      <c r="B20">
        <v>2020</v>
      </c>
      <c r="C20" t="s">
        <v>113</v>
      </c>
      <c r="D20" s="99">
        <v>1</v>
      </c>
      <c r="E20" s="100">
        <v>1</v>
      </c>
      <c r="F20" s="118">
        <v>1</v>
      </c>
      <c r="G20" s="126">
        <v>1</v>
      </c>
      <c r="H20" s="171">
        <v>1</v>
      </c>
    </row>
    <row r="21" spans="2:8" x14ac:dyDescent="0.25">
      <c r="B21">
        <v>2025</v>
      </c>
      <c r="C21" t="s">
        <v>113</v>
      </c>
      <c r="D21" s="99">
        <v>1</v>
      </c>
      <c r="E21" s="100">
        <v>1</v>
      </c>
      <c r="F21" s="118">
        <v>1</v>
      </c>
      <c r="G21" s="126">
        <v>1</v>
      </c>
      <c r="H21" s="171">
        <v>1</v>
      </c>
    </row>
    <row r="22" spans="2:8" x14ac:dyDescent="0.25">
      <c r="B22">
        <v>2030</v>
      </c>
      <c r="C22" t="s">
        <v>113</v>
      </c>
      <c r="D22" s="99">
        <v>1</v>
      </c>
      <c r="E22" s="100">
        <v>1</v>
      </c>
      <c r="F22" s="118">
        <v>1</v>
      </c>
      <c r="G22" s="126">
        <v>1</v>
      </c>
      <c r="H22" s="171">
        <v>1</v>
      </c>
    </row>
    <row r="23" spans="2:8" x14ac:dyDescent="0.25">
      <c r="B23">
        <v>2035</v>
      </c>
      <c r="C23" t="s">
        <v>113</v>
      </c>
      <c r="D23" s="99">
        <v>1</v>
      </c>
      <c r="E23" s="100">
        <v>1</v>
      </c>
      <c r="F23" s="118">
        <v>1</v>
      </c>
      <c r="G23" s="126">
        <v>1</v>
      </c>
      <c r="H23" s="171">
        <v>1</v>
      </c>
    </row>
    <row r="24" spans="2:8" x14ac:dyDescent="0.25">
      <c r="B24">
        <v>2040</v>
      </c>
      <c r="C24" t="s">
        <v>113</v>
      </c>
      <c r="D24" s="99">
        <v>1</v>
      </c>
      <c r="E24" s="100">
        <v>1</v>
      </c>
      <c r="F24" s="118">
        <v>1</v>
      </c>
      <c r="G24" s="126">
        <v>1</v>
      </c>
      <c r="H24" s="171">
        <v>1</v>
      </c>
    </row>
    <row r="25" spans="2:8" x14ac:dyDescent="0.25">
      <c r="B25">
        <v>2045</v>
      </c>
      <c r="C25" t="s">
        <v>113</v>
      </c>
      <c r="D25" s="99">
        <v>1</v>
      </c>
      <c r="E25" s="100">
        <v>1</v>
      </c>
      <c r="F25" s="118">
        <v>1</v>
      </c>
      <c r="G25" s="126">
        <v>1</v>
      </c>
      <c r="H25" s="171">
        <v>1</v>
      </c>
    </row>
    <row r="26" spans="2:8" x14ac:dyDescent="0.25">
      <c r="B26">
        <v>2050</v>
      </c>
      <c r="C26" t="s">
        <v>113</v>
      </c>
      <c r="D26" s="99">
        <v>1</v>
      </c>
      <c r="E26" s="100">
        <v>1</v>
      </c>
      <c r="F26" s="118">
        <v>1</v>
      </c>
      <c r="G26" s="126">
        <v>1</v>
      </c>
      <c r="H26" s="171">
        <v>1</v>
      </c>
    </row>
    <row r="27" spans="2:8" x14ac:dyDescent="0.25">
      <c r="B27">
        <v>2055</v>
      </c>
      <c r="C27" t="s">
        <v>113</v>
      </c>
      <c r="D27" s="99">
        <v>1</v>
      </c>
      <c r="E27" s="100">
        <v>1</v>
      </c>
      <c r="F27" s="118">
        <v>1</v>
      </c>
      <c r="G27" s="126">
        <v>1</v>
      </c>
      <c r="H27" s="171">
        <v>1</v>
      </c>
    </row>
    <row r="28" spans="2:8" x14ac:dyDescent="0.25">
      <c r="B28">
        <v>2060</v>
      </c>
      <c r="C28" t="s">
        <v>113</v>
      </c>
      <c r="D28" s="99">
        <v>1</v>
      </c>
      <c r="E28" s="100">
        <v>1</v>
      </c>
      <c r="F28" s="118">
        <v>1</v>
      </c>
      <c r="G28" s="126">
        <v>1</v>
      </c>
      <c r="H28" s="171">
        <v>1</v>
      </c>
    </row>
    <row r="29" spans="2:8" x14ac:dyDescent="0.25">
      <c r="B29">
        <v>2065</v>
      </c>
      <c r="C29" t="s">
        <v>113</v>
      </c>
      <c r="D29" s="99">
        <v>1</v>
      </c>
      <c r="E29" s="100">
        <v>1</v>
      </c>
      <c r="F29" s="118">
        <v>1</v>
      </c>
      <c r="G29" s="126">
        <v>1</v>
      </c>
      <c r="H29" s="171">
        <v>1</v>
      </c>
    </row>
    <row r="30" spans="2:8" x14ac:dyDescent="0.25">
      <c r="B30">
        <v>2070</v>
      </c>
      <c r="C30" t="s">
        <v>113</v>
      </c>
      <c r="D30" s="99">
        <v>1</v>
      </c>
      <c r="E30" s="100">
        <v>1</v>
      </c>
      <c r="F30" s="118">
        <v>1</v>
      </c>
      <c r="G30" s="126">
        <v>1</v>
      </c>
      <c r="H30" s="171">
        <v>1</v>
      </c>
    </row>
    <row r="31" spans="2:8" x14ac:dyDescent="0.25">
      <c r="B31">
        <v>2075</v>
      </c>
      <c r="C31" t="s">
        <v>113</v>
      </c>
      <c r="D31" s="99">
        <v>1</v>
      </c>
      <c r="E31" s="100">
        <v>1</v>
      </c>
      <c r="F31" s="118">
        <v>1</v>
      </c>
      <c r="G31" s="126">
        <v>1</v>
      </c>
      <c r="H31" s="171">
        <v>1</v>
      </c>
    </row>
    <row r="32" spans="2:8" x14ac:dyDescent="0.25">
      <c r="B32">
        <v>2080</v>
      </c>
      <c r="C32" t="s">
        <v>113</v>
      </c>
      <c r="D32" s="99">
        <v>1</v>
      </c>
      <c r="E32" s="100">
        <v>1</v>
      </c>
      <c r="F32" s="118">
        <v>1</v>
      </c>
      <c r="G32" s="126">
        <v>1</v>
      </c>
      <c r="H32" s="171">
        <v>1</v>
      </c>
    </row>
    <row r="33" spans="2:8" x14ac:dyDescent="0.25">
      <c r="B33">
        <v>2085</v>
      </c>
      <c r="C33" t="s">
        <v>113</v>
      </c>
      <c r="D33" s="99">
        <v>1</v>
      </c>
      <c r="E33" s="100">
        <v>1</v>
      </c>
      <c r="F33" s="118">
        <v>1</v>
      </c>
      <c r="G33" s="126">
        <v>1</v>
      </c>
      <c r="H33" s="171">
        <v>1</v>
      </c>
    </row>
    <row r="34" spans="2:8" x14ac:dyDescent="0.25">
      <c r="B34">
        <v>2090</v>
      </c>
      <c r="C34" t="s">
        <v>113</v>
      </c>
      <c r="D34" s="99">
        <v>1</v>
      </c>
      <c r="E34" s="100">
        <v>1</v>
      </c>
      <c r="F34" s="118">
        <v>1</v>
      </c>
      <c r="G34" s="126">
        <v>1</v>
      </c>
      <c r="H34" s="171">
        <v>1</v>
      </c>
    </row>
    <row r="35" spans="2:8" x14ac:dyDescent="0.25">
      <c r="B35">
        <v>2095</v>
      </c>
      <c r="C35" t="s">
        <v>113</v>
      </c>
      <c r="D35" s="99">
        <v>1</v>
      </c>
      <c r="E35" s="100">
        <v>1</v>
      </c>
      <c r="F35" s="118">
        <v>1</v>
      </c>
      <c r="G35" s="126">
        <v>1</v>
      </c>
      <c r="H35" s="171">
        <v>1</v>
      </c>
    </row>
    <row r="36" spans="2:8" x14ac:dyDescent="0.25">
      <c r="B36">
        <v>2100</v>
      </c>
      <c r="C36" t="s">
        <v>113</v>
      </c>
      <c r="D36" s="99">
        <v>1</v>
      </c>
      <c r="E36" s="100">
        <v>1</v>
      </c>
      <c r="F36" s="118">
        <v>1</v>
      </c>
      <c r="G36" s="126">
        <v>1</v>
      </c>
      <c r="H36" s="171">
        <v>1</v>
      </c>
    </row>
    <row r="37" spans="2:8" x14ac:dyDescent="0.25">
      <c r="B37">
        <v>1970</v>
      </c>
      <c r="C37" t="s">
        <v>0</v>
      </c>
      <c r="D37" s="99">
        <v>0.46</v>
      </c>
      <c r="E37" s="100">
        <v>0.46</v>
      </c>
      <c r="F37" s="118">
        <v>0.25</v>
      </c>
      <c r="G37" s="126">
        <v>0.23</v>
      </c>
      <c r="H37" s="171">
        <v>0.22</v>
      </c>
    </row>
    <row r="38" spans="2:8" x14ac:dyDescent="0.25">
      <c r="B38">
        <v>1975</v>
      </c>
      <c r="C38" t="s">
        <v>0</v>
      </c>
      <c r="D38" s="99">
        <v>0.43</v>
      </c>
      <c r="E38" s="100">
        <v>0.44</v>
      </c>
      <c r="F38" s="118">
        <v>0.22</v>
      </c>
      <c r="G38" s="126">
        <v>0.23</v>
      </c>
      <c r="H38" s="171">
        <v>0.22</v>
      </c>
    </row>
    <row r="39" spans="2:8" x14ac:dyDescent="0.25">
      <c r="B39">
        <v>1980</v>
      </c>
      <c r="C39" t="s">
        <v>0</v>
      </c>
      <c r="D39" s="99">
        <v>0.41</v>
      </c>
      <c r="E39" s="100">
        <v>0.42</v>
      </c>
      <c r="F39" s="118">
        <v>0.2</v>
      </c>
      <c r="G39" s="126">
        <v>0.21</v>
      </c>
      <c r="H39" s="171">
        <v>0.22</v>
      </c>
    </row>
    <row r="40" spans="2:8" x14ac:dyDescent="0.25">
      <c r="B40">
        <v>1985</v>
      </c>
      <c r="C40" t="s">
        <v>0</v>
      </c>
      <c r="D40" s="99">
        <v>0.38</v>
      </c>
      <c r="E40" s="100">
        <v>0.42</v>
      </c>
      <c r="F40" s="118">
        <v>0.2</v>
      </c>
      <c r="G40" s="126">
        <v>0.19</v>
      </c>
      <c r="H40" s="171">
        <v>0.23</v>
      </c>
    </row>
    <row r="41" spans="2:8" x14ac:dyDescent="0.25">
      <c r="B41">
        <v>1990</v>
      </c>
      <c r="C41" t="s">
        <v>0</v>
      </c>
      <c r="D41" s="99">
        <v>0.37</v>
      </c>
      <c r="E41" s="100">
        <v>0.41</v>
      </c>
      <c r="F41" s="118">
        <v>0.19</v>
      </c>
      <c r="G41" s="126">
        <v>0.17</v>
      </c>
      <c r="H41" s="171">
        <v>0.22</v>
      </c>
    </row>
    <row r="42" spans="2:8" x14ac:dyDescent="0.25">
      <c r="B42">
        <v>1995</v>
      </c>
      <c r="C42" t="s">
        <v>0</v>
      </c>
      <c r="D42" s="99">
        <v>0.35</v>
      </c>
      <c r="E42" s="100">
        <v>0.4</v>
      </c>
      <c r="F42" s="118">
        <v>0.19</v>
      </c>
      <c r="G42" s="126">
        <v>0.17</v>
      </c>
      <c r="H42" s="171">
        <v>0.21</v>
      </c>
    </row>
    <row r="43" spans="2:8" x14ac:dyDescent="0.25">
      <c r="B43">
        <v>2000</v>
      </c>
      <c r="C43" t="s">
        <v>0</v>
      </c>
      <c r="D43" s="99">
        <v>0.33</v>
      </c>
      <c r="E43" s="100">
        <v>0.38</v>
      </c>
      <c r="F43" s="118">
        <v>0.18</v>
      </c>
      <c r="G43" s="126">
        <v>0.19</v>
      </c>
      <c r="H43" s="171">
        <v>0.18</v>
      </c>
    </row>
    <row r="44" spans="2:8" x14ac:dyDescent="0.25">
      <c r="B44">
        <v>2005</v>
      </c>
      <c r="C44" t="s">
        <v>0</v>
      </c>
      <c r="D44" s="99">
        <v>0.31</v>
      </c>
      <c r="E44" s="100">
        <v>0.36</v>
      </c>
      <c r="F44" s="118">
        <v>0.17</v>
      </c>
      <c r="G44" s="126">
        <v>0.19</v>
      </c>
      <c r="H44" s="171">
        <v>0.15</v>
      </c>
    </row>
    <row r="45" spans="2:8" x14ac:dyDescent="0.25">
      <c r="B45">
        <v>2010</v>
      </c>
      <c r="C45" t="s">
        <v>0</v>
      </c>
      <c r="D45" s="99">
        <v>0.28999999999999998</v>
      </c>
      <c r="E45" s="100">
        <v>0.34</v>
      </c>
      <c r="F45" s="118">
        <v>0.17</v>
      </c>
      <c r="G45" s="126">
        <v>0.18</v>
      </c>
      <c r="H45" s="171">
        <v>0.15</v>
      </c>
    </row>
    <row r="46" spans="2:8" x14ac:dyDescent="0.25">
      <c r="B46">
        <v>2015</v>
      </c>
      <c r="C46" t="s">
        <v>0</v>
      </c>
      <c r="D46" s="99">
        <v>0.27</v>
      </c>
      <c r="E46" s="100">
        <v>0.31</v>
      </c>
      <c r="F46" s="118">
        <v>0.16</v>
      </c>
      <c r="G46" s="126">
        <v>0.17</v>
      </c>
      <c r="H46" s="171">
        <v>0.16</v>
      </c>
    </row>
    <row r="47" spans="2:8" x14ac:dyDescent="0.25">
      <c r="B47">
        <v>2020</v>
      </c>
      <c r="C47" t="s">
        <v>0</v>
      </c>
      <c r="D47" s="99">
        <v>0.25</v>
      </c>
      <c r="E47" s="100">
        <v>0.28999999999999998</v>
      </c>
      <c r="F47" s="118">
        <v>0.16</v>
      </c>
      <c r="G47" s="126">
        <v>0.16</v>
      </c>
      <c r="H47" s="171">
        <v>0.17</v>
      </c>
    </row>
    <row r="48" spans="2:8" x14ac:dyDescent="0.25">
      <c r="B48">
        <v>2025</v>
      </c>
      <c r="C48" t="s">
        <v>0</v>
      </c>
      <c r="D48" s="99">
        <v>0.23</v>
      </c>
      <c r="E48" s="100">
        <v>0.27</v>
      </c>
      <c r="F48" s="118">
        <v>0.17</v>
      </c>
      <c r="G48" s="126">
        <v>0.16</v>
      </c>
      <c r="H48" s="171">
        <v>0.16</v>
      </c>
    </row>
    <row r="49" spans="2:8" x14ac:dyDescent="0.25">
      <c r="B49">
        <v>2030</v>
      </c>
      <c r="C49" t="s">
        <v>0</v>
      </c>
      <c r="D49" s="99">
        <v>0.22</v>
      </c>
      <c r="E49" s="100">
        <v>0.26</v>
      </c>
      <c r="F49" s="118">
        <v>0.17</v>
      </c>
      <c r="G49" s="126">
        <v>0.17</v>
      </c>
      <c r="H49" s="171">
        <v>0.15</v>
      </c>
    </row>
    <row r="50" spans="2:8" x14ac:dyDescent="0.25">
      <c r="B50">
        <v>2035</v>
      </c>
      <c r="C50" t="s">
        <v>0</v>
      </c>
      <c r="D50" s="99">
        <v>0.21</v>
      </c>
      <c r="E50" s="100">
        <v>0.24</v>
      </c>
      <c r="F50" s="118">
        <v>0.17</v>
      </c>
      <c r="G50" s="126">
        <v>0.18</v>
      </c>
      <c r="H50" s="171">
        <v>0.14000000000000001</v>
      </c>
    </row>
    <row r="51" spans="2:8" x14ac:dyDescent="0.25">
      <c r="B51">
        <v>2040</v>
      </c>
      <c r="C51" t="s">
        <v>0</v>
      </c>
      <c r="D51" s="99">
        <v>0.2</v>
      </c>
      <c r="E51" s="100">
        <v>0.22</v>
      </c>
      <c r="F51" s="118">
        <v>0.16</v>
      </c>
      <c r="G51" s="126">
        <v>0.18</v>
      </c>
      <c r="H51" s="171">
        <v>0.14000000000000001</v>
      </c>
    </row>
    <row r="52" spans="2:8" x14ac:dyDescent="0.25">
      <c r="B52">
        <v>2045</v>
      </c>
      <c r="C52" t="s">
        <v>0</v>
      </c>
      <c r="D52" s="99">
        <v>0.19</v>
      </c>
      <c r="E52" s="100">
        <v>0.21</v>
      </c>
      <c r="F52" s="118">
        <v>0.16</v>
      </c>
      <c r="G52" s="126">
        <v>0.17</v>
      </c>
      <c r="H52" s="171">
        <v>0.14000000000000001</v>
      </c>
    </row>
    <row r="53" spans="2:8" x14ac:dyDescent="0.25">
      <c r="B53">
        <v>2050</v>
      </c>
      <c r="C53" t="s">
        <v>0</v>
      </c>
      <c r="D53" s="99">
        <v>0.18</v>
      </c>
      <c r="E53" s="100">
        <v>0.2</v>
      </c>
      <c r="F53" s="118">
        <v>0.16</v>
      </c>
      <c r="G53" s="126">
        <v>0.17</v>
      </c>
      <c r="H53" s="171">
        <v>0.15</v>
      </c>
    </row>
    <row r="54" spans="2:8" x14ac:dyDescent="0.25">
      <c r="B54">
        <v>2055</v>
      </c>
      <c r="C54" t="s">
        <v>0</v>
      </c>
      <c r="D54" s="99">
        <v>0.17</v>
      </c>
      <c r="E54" s="100">
        <v>0.19</v>
      </c>
      <c r="F54" s="118">
        <v>0.16</v>
      </c>
      <c r="G54" s="126">
        <v>0.17</v>
      </c>
      <c r="H54" s="171">
        <v>0.15</v>
      </c>
    </row>
    <row r="55" spans="2:8" x14ac:dyDescent="0.25">
      <c r="B55">
        <v>2060</v>
      </c>
      <c r="C55" t="s">
        <v>0</v>
      </c>
      <c r="D55" s="99">
        <v>0.16</v>
      </c>
      <c r="E55" s="100">
        <v>0.18</v>
      </c>
      <c r="F55" s="118">
        <v>0.16</v>
      </c>
      <c r="G55" s="126">
        <v>0.17</v>
      </c>
      <c r="H55" s="171">
        <v>0.14000000000000001</v>
      </c>
    </row>
    <row r="56" spans="2:8" x14ac:dyDescent="0.25">
      <c r="B56">
        <v>2065</v>
      </c>
      <c r="C56" t="s">
        <v>0</v>
      </c>
      <c r="D56" s="99">
        <v>0.15</v>
      </c>
      <c r="E56" s="100">
        <v>0.17</v>
      </c>
      <c r="F56" s="118">
        <v>0.16</v>
      </c>
      <c r="G56" s="126">
        <v>0.17</v>
      </c>
      <c r="H56" s="171">
        <v>0.14000000000000001</v>
      </c>
    </row>
    <row r="57" spans="2:8" x14ac:dyDescent="0.25">
      <c r="B57">
        <v>2070</v>
      </c>
      <c r="C57" t="s">
        <v>0</v>
      </c>
      <c r="D57" s="99">
        <v>0.15</v>
      </c>
      <c r="E57" s="100">
        <v>0.16</v>
      </c>
      <c r="F57" s="118">
        <v>0.16</v>
      </c>
      <c r="G57" s="126">
        <v>0.17</v>
      </c>
      <c r="H57" s="171">
        <v>0.14000000000000001</v>
      </c>
    </row>
    <row r="58" spans="2:8" x14ac:dyDescent="0.25">
      <c r="B58">
        <v>2075</v>
      </c>
      <c r="C58" t="s">
        <v>0</v>
      </c>
      <c r="D58" s="99">
        <v>0.14000000000000001</v>
      </c>
      <c r="E58" s="100">
        <v>0.15</v>
      </c>
      <c r="F58" s="118">
        <v>0.16</v>
      </c>
      <c r="G58" s="126">
        <v>0.16</v>
      </c>
      <c r="H58" s="171">
        <v>0.14000000000000001</v>
      </c>
    </row>
    <row r="59" spans="2:8" x14ac:dyDescent="0.25">
      <c r="B59">
        <v>2080</v>
      </c>
      <c r="C59" t="s">
        <v>0</v>
      </c>
      <c r="D59" s="99">
        <v>0.13</v>
      </c>
      <c r="E59" s="100">
        <v>0.15</v>
      </c>
      <c r="F59" s="118">
        <v>0.15</v>
      </c>
      <c r="G59" s="126">
        <v>0.16</v>
      </c>
      <c r="H59" s="171">
        <v>0.14000000000000001</v>
      </c>
    </row>
    <row r="60" spans="2:8" x14ac:dyDescent="0.25">
      <c r="B60">
        <v>2085</v>
      </c>
      <c r="C60" t="s">
        <v>0</v>
      </c>
      <c r="D60" s="99">
        <v>0.13</v>
      </c>
      <c r="E60" s="100">
        <v>0.14000000000000001</v>
      </c>
      <c r="F60" s="118">
        <v>0.15</v>
      </c>
      <c r="G60" s="126">
        <v>0.15</v>
      </c>
      <c r="H60" s="171">
        <v>0.14000000000000001</v>
      </c>
    </row>
    <row r="61" spans="2:8" x14ac:dyDescent="0.25">
      <c r="B61">
        <v>2090</v>
      </c>
      <c r="C61" t="s">
        <v>0</v>
      </c>
      <c r="D61" s="99">
        <v>0.12</v>
      </c>
      <c r="E61" s="100">
        <v>0.14000000000000001</v>
      </c>
      <c r="F61" s="118">
        <v>0.15</v>
      </c>
      <c r="G61" s="126">
        <v>0.15</v>
      </c>
      <c r="H61" s="171">
        <v>0.13</v>
      </c>
    </row>
    <row r="62" spans="2:8" x14ac:dyDescent="0.25">
      <c r="B62">
        <v>2095</v>
      </c>
      <c r="C62" t="s">
        <v>0</v>
      </c>
      <c r="D62" s="99">
        <v>0.12</v>
      </c>
      <c r="E62" s="100">
        <v>0.13</v>
      </c>
      <c r="F62" s="118">
        <v>0.15</v>
      </c>
      <c r="G62" s="126">
        <v>0.15</v>
      </c>
      <c r="H62" s="171">
        <v>0.13</v>
      </c>
    </row>
    <row r="63" spans="2:8" x14ac:dyDescent="0.25">
      <c r="B63">
        <v>2100</v>
      </c>
      <c r="C63" t="s">
        <v>0</v>
      </c>
      <c r="D63" s="99">
        <v>0.12</v>
      </c>
      <c r="E63" s="100">
        <v>0.13</v>
      </c>
      <c r="F63" s="118">
        <v>0.14000000000000001</v>
      </c>
      <c r="G63" s="126">
        <v>0.15</v>
      </c>
      <c r="H63" s="171">
        <v>0.13</v>
      </c>
    </row>
    <row r="64" spans="2:8" x14ac:dyDescent="0.25">
      <c r="B64">
        <v>1970</v>
      </c>
      <c r="C64" t="s">
        <v>1</v>
      </c>
      <c r="D64" s="99">
        <v>0.14000000000000001</v>
      </c>
      <c r="E64" s="100">
        <v>0.08</v>
      </c>
      <c r="F64" s="118">
        <v>0</v>
      </c>
      <c r="G64" s="126">
        <v>0</v>
      </c>
      <c r="H64" s="171">
        <v>0.01</v>
      </c>
    </row>
    <row r="65" spans="2:8" x14ac:dyDescent="0.25">
      <c r="B65">
        <v>1975</v>
      </c>
      <c r="C65" t="s">
        <v>1</v>
      </c>
      <c r="D65" s="99">
        <v>0.13</v>
      </c>
      <c r="E65" s="100">
        <v>7.0000000000000007E-2</v>
      </c>
      <c r="F65" s="118">
        <v>0</v>
      </c>
      <c r="G65" s="126">
        <v>0</v>
      </c>
      <c r="H65" s="171">
        <v>0.01</v>
      </c>
    </row>
    <row r="66" spans="2:8" x14ac:dyDescent="0.25">
      <c r="B66">
        <v>1980</v>
      </c>
      <c r="C66" t="s">
        <v>1</v>
      </c>
      <c r="D66" s="99">
        <v>0.11</v>
      </c>
      <c r="E66" s="100">
        <v>0.06</v>
      </c>
      <c r="F66" s="118">
        <v>0</v>
      </c>
      <c r="G66" s="126">
        <v>0</v>
      </c>
      <c r="H66" s="171">
        <v>0</v>
      </c>
    </row>
    <row r="67" spans="2:8" x14ac:dyDescent="0.25">
      <c r="B67">
        <v>1985</v>
      </c>
      <c r="C67" t="s">
        <v>1</v>
      </c>
      <c r="D67" s="99">
        <v>0.09</v>
      </c>
      <c r="E67" s="100">
        <v>0.05</v>
      </c>
      <c r="F67" s="118">
        <v>0</v>
      </c>
      <c r="G67" s="126">
        <v>0</v>
      </c>
      <c r="H67" s="171">
        <v>0</v>
      </c>
    </row>
    <row r="68" spans="2:8" x14ac:dyDescent="0.25">
      <c r="B68">
        <v>1990</v>
      </c>
      <c r="C68" t="s">
        <v>1</v>
      </c>
      <c r="D68" s="99">
        <v>0.08</v>
      </c>
      <c r="E68" s="100">
        <v>0.05</v>
      </c>
      <c r="F68" s="118">
        <v>0</v>
      </c>
      <c r="G68" s="126">
        <v>0</v>
      </c>
      <c r="H68" s="171">
        <v>0</v>
      </c>
    </row>
    <row r="69" spans="2:8" x14ac:dyDescent="0.25">
      <c r="B69">
        <v>1995</v>
      </c>
      <c r="C69" t="s">
        <v>1</v>
      </c>
      <c r="D69" s="99">
        <v>7.0000000000000007E-2</v>
      </c>
      <c r="E69" s="100">
        <v>0.04</v>
      </c>
      <c r="F69" s="118">
        <v>0</v>
      </c>
      <c r="G69" s="126">
        <v>0</v>
      </c>
      <c r="H69" s="171">
        <v>0</v>
      </c>
    </row>
    <row r="70" spans="2:8" x14ac:dyDescent="0.25">
      <c r="B70">
        <v>2000</v>
      </c>
      <c r="C70" t="s">
        <v>1</v>
      </c>
      <c r="D70" s="99">
        <v>0.06</v>
      </c>
      <c r="E70" s="100">
        <v>0.03</v>
      </c>
      <c r="F70" s="118">
        <v>0</v>
      </c>
      <c r="G70" s="126">
        <v>0</v>
      </c>
      <c r="H70" s="171">
        <v>0</v>
      </c>
    </row>
    <row r="71" spans="2:8" x14ac:dyDescent="0.25">
      <c r="B71">
        <v>2005</v>
      </c>
      <c r="C71" t="s">
        <v>1</v>
      </c>
      <c r="D71" s="99">
        <v>0.05</v>
      </c>
      <c r="E71" s="100">
        <v>0.03</v>
      </c>
      <c r="F71" s="118">
        <v>0</v>
      </c>
      <c r="G71" s="126">
        <v>0</v>
      </c>
      <c r="H71" s="171">
        <v>0</v>
      </c>
    </row>
    <row r="72" spans="2:8" x14ac:dyDescent="0.25">
      <c r="B72">
        <v>2010</v>
      </c>
      <c r="C72" t="s">
        <v>1</v>
      </c>
      <c r="D72" s="99">
        <v>0.05</v>
      </c>
      <c r="E72" s="100">
        <v>0.02</v>
      </c>
      <c r="F72" s="118">
        <v>0</v>
      </c>
      <c r="G72" s="126">
        <v>0</v>
      </c>
      <c r="H72" s="171">
        <v>0</v>
      </c>
    </row>
    <row r="73" spans="2:8" x14ac:dyDescent="0.25">
      <c r="B73">
        <v>2015</v>
      </c>
      <c r="C73" t="s">
        <v>1</v>
      </c>
      <c r="D73" s="99">
        <v>0.04</v>
      </c>
      <c r="E73" s="100">
        <v>0.02</v>
      </c>
      <c r="F73" s="118">
        <v>0</v>
      </c>
      <c r="G73" s="126">
        <v>0</v>
      </c>
      <c r="H73" s="171">
        <v>0</v>
      </c>
    </row>
    <row r="74" spans="2:8" x14ac:dyDescent="0.25">
      <c r="B74">
        <v>2020</v>
      </c>
      <c r="C74" t="s">
        <v>1</v>
      </c>
      <c r="D74" s="99">
        <v>0.04</v>
      </c>
      <c r="E74" s="100">
        <v>0.02</v>
      </c>
      <c r="F74" s="118">
        <v>0</v>
      </c>
      <c r="G74" s="126">
        <v>0</v>
      </c>
      <c r="H74" s="171">
        <v>0</v>
      </c>
    </row>
    <row r="75" spans="2:8" x14ac:dyDescent="0.25">
      <c r="B75">
        <v>2025</v>
      </c>
      <c r="C75" t="s">
        <v>1</v>
      </c>
      <c r="D75" s="99">
        <v>0.03</v>
      </c>
      <c r="E75" s="100">
        <v>0.02</v>
      </c>
      <c r="F75" s="118">
        <v>0</v>
      </c>
      <c r="G75" s="126">
        <v>0</v>
      </c>
      <c r="H75" s="171">
        <v>0</v>
      </c>
    </row>
    <row r="76" spans="2:8" x14ac:dyDescent="0.25">
      <c r="B76">
        <v>2030</v>
      </c>
      <c r="C76" t="s">
        <v>1</v>
      </c>
      <c r="D76" s="99">
        <v>0.03</v>
      </c>
      <c r="E76" s="100">
        <v>0.02</v>
      </c>
      <c r="F76" s="118">
        <v>0</v>
      </c>
      <c r="G76" s="126">
        <v>0</v>
      </c>
      <c r="H76" s="171">
        <v>0</v>
      </c>
    </row>
    <row r="77" spans="2:8" x14ac:dyDescent="0.25">
      <c r="B77">
        <v>2035</v>
      </c>
      <c r="C77" t="s">
        <v>1</v>
      </c>
      <c r="D77" s="99">
        <v>0.02</v>
      </c>
      <c r="E77" s="100">
        <v>0.01</v>
      </c>
      <c r="F77" s="118">
        <v>0</v>
      </c>
      <c r="G77" s="126">
        <v>0</v>
      </c>
      <c r="H77" s="171">
        <v>0</v>
      </c>
    </row>
    <row r="78" spans="2:8" x14ac:dyDescent="0.25">
      <c r="B78">
        <v>2040</v>
      </c>
      <c r="C78" t="s">
        <v>1</v>
      </c>
      <c r="D78" s="99">
        <v>0.02</v>
      </c>
      <c r="E78" s="100">
        <v>0.01</v>
      </c>
      <c r="F78" s="118">
        <v>0</v>
      </c>
      <c r="G78" s="126">
        <v>0</v>
      </c>
      <c r="H78" s="171">
        <v>0</v>
      </c>
    </row>
    <row r="79" spans="2:8" x14ac:dyDescent="0.25">
      <c r="B79">
        <v>2045</v>
      </c>
      <c r="C79" t="s">
        <v>1</v>
      </c>
      <c r="D79" s="99">
        <v>0.02</v>
      </c>
      <c r="E79" s="100">
        <v>0.01</v>
      </c>
      <c r="F79" s="118">
        <v>0</v>
      </c>
      <c r="G79" s="126">
        <v>0</v>
      </c>
      <c r="H79" s="171">
        <v>0</v>
      </c>
    </row>
    <row r="80" spans="2:8" x14ac:dyDescent="0.25">
      <c r="B80">
        <v>2050</v>
      </c>
      <c r="C80" t="s">
        <v>1</v>
      </c>
      <c r="D80" s="99">
        <v>0.01</v>
      </c>
      <c r="E80" s="100">
        <v>0.01</v>
      </c>
      <c r="F80" s="118">
        <v>0</v>
      </c>
      <c r="G80" s="126">
        <v>0</v>
      </c>
      <c r="H80" s="171">
        <v>0</v>
      </c>
    </row>
    <row r="81" spans="2:8" x14ac:dyDescent="0.25">
      <c r="B81">
        <v>2055</v>
      </c>
      <c r="C81" t="s">
        <v>1</v>
      </c>
      <c r="D81" s="99">
        <v>0.01</v>
      </c>
      <c r="E81" s="100">
        <v>0.01</v>
      </c>
      <c r="F81" s="118">
        <v>0</v>
      </c>
      <c r="G81" s="126">
        <v>0</v>
      </c>
      <c r="H81" s="171">
        <v>0</v>
      </c>
    </row>
    <row r="82" spans="2:8" x14ac:dyDescent="0.25">
      <c r="B82">
        <v>2060</v>
      </c>
      <c r="C82" t="s">
        <v>1</v>
      </c>
      <c r="D82" s="99">
        <v>0.01</v>
      </c>
      <c r="E82" s="100">
        <v>0.01</v>
      </c>
      <c r="F82" s="118">
        <v>0</v>
      </c>
      <c r="G82" s="126">
        <v>0</v>
      </c>
      <c r="H82" s="171">
        <v>0</v>
      </c>
    </row>
    <row r="83" spans="2:8" x14ac:dyDescent="0.25">
      <c r="B83">
        <v>2065</v>
      </c>
      <c r="C83" t="s">
        <v>1</v>
      </c>
      <c r="D83" s="99">
        <v>0.01</v>
      </c>
      <c r="E83" s="100">
        <v>0.01</v>
      </c>
      <c r="F83" s="118">
        <v>0</v>
      </c>
      <c r="G83" s="126">
        <v>0</v>
      </c>
      <c r="H83" s="171">
        <v>0</v>
      </c>
    </row>
    <row r="84" spans="2:8" x14ac:dyDescent="0.25">
      <c r="B84">
        <v>2070</v>
      </c>
      <c r="C84" t="s">
        <v>1</v>
      </c>
      <c r="D84" s="99">
        <v>0.01</v>
      </c>
      <c r="E84" s="100">
        <v>0</v>
      </c>
      <c r="F84" s="118">
        <v>0</v>
      </c>
      <c r="G84" s="126">
        <v>0</v>
      </c>
      <c r="H84" s="171">
        <v>0</v>
      </c>
    </row>
    <row r="85" spans="2:8" x14ac:dyDescent="0.25">
      <c r="B85">
        <v>2075</v>
      </c>
      <c r="C85" t="s">
        <v>1</v>
      </c>
      <c r="D85" s="99">
        <v>0</v>
      </c>
      <c r="E85" s="100">
        <v>0</v>
      </c>
      <c r="F85" s="118">
        <v>0</v>
      </c>
      <c r="G85" s="126">
        <v>0</v>
      </c>
      <c r="H85" s="171">
        <v>0</v>
      </c>
    </row>
    <row r="86" spans="2:8" x14ac:dyDescent="0.25">
      <c r="B86">
        <v>2080</v>
      </c>
      <c r="C86" t="s">
        <v>1</v>
      </c>
      <c r="D86" s="99">
        <v>0</v>
      </c>
      <c r="E86" s="100">
        <v>0</v>
      </c>
      <c r="F86" s="118">
        <v>0</v>
      </c>
      <c r="G86" s="126">
        <v>0</v>
      </c>
      <c r="H86" s="171">
        <v>0</v>
      </c>
    </row>
    <row r="87" spans="2:8" x14ac:dyDescent="0.25">
      <c r="B87">
        <v>2085</v>
      </c>
      <c r="C87" t="s">
        <v>1</v>
      </c>
      <c r="D87" s="99">
        <v>0</v>
      </c>
      <c r="E87" s="100">
        <v>0</v>
      </c>
      <c r="F87" s="118">
        <v>0</v>
      </c>
      <c r="G87" s="126">
        <v>0</v>
      </c>
      <c r="H87" s="171">
        <v>0</v>
      </c>
    </row>
    <row r="88" spans="2:8" x14ac:dyDescent="0.25">
      <c r="B88">
        <v>2090</v>
      </c>
      <c r="C88" t="s">
        <v>1</v>
      </c>
      <c r="D88" s="99">
        <v>0</v>
      </c>
      <c r="E88" s="100">
        <v>0</v>
      </c>
      <c r="F88" s="118">
        <v>0</v>
      </c>
      <c r="G88" s="126">
        <v>0</v>
      </c>
      <c r="H88" s="171">
        <v>0</v>
      </c>
    </row>
    <row r="89" spans="2:8" x14ac:dyDescent="0.25">
      <c r="B89">
        <v>2095</v>
      </c>
      <c r="C89" t="s">
        <v>1</v>
      </c>
      <c r="D89" s="99">
        <v>0</v>
      </c>
      <c r="E89" s="100">
        <v>0</v>
      </c>
      <c r="F89" s="118">
        <v>0</v>
      </c>
      <c r="G89" s="126">
        <v>0</v>
      </c>
      <c r="H89" s="171">
        <v>0</v>
      </c>
    </row>
    <row r="90" spans="2:8" x14ac:dyDescent="0.25">
      <c r="B90">
        <v>2100</v>
      </c>
      <c r="C90" t="s">
        <v>1</v>
      </c>
      <c r="D90" s="99">
        <v>0</v>
      </c>
      <c r="E90" s="100">
        <v>0</v>
      </c>
      <c r="F90" s="118">
        <v>0</v>
      </c>
      <c r="G90" s="126">
        <v>0</v>
      </c>
      <c r="H90" s="171">
        <v>0</v>
      </c>
    </row>
    <row r="91" spans="2:8" x14ac:dyDescent="0.25">
      <c r="B91">
        <v>1970</v>
      </c>
      <c r="C91" t="s">
        <v>2</v>
      </c>
      <c r="D91" s="99">
        <v>0.17</v>
      </c>
      <c r="E91" s="100">
        <v>0.27</v>
      </c>
      <c r="F91" s="118">
        <v>0</v>
      </c>
      <c r="G91" s="126">
        <v>0</v>
      </c>
      <c r="H91" s="171">
        <v>0.03</v>
      </c>
    </row>
    <row r="92" spans="2:8" x14ac:dyDescent="0.25">
      <c r="B92">
        <v>1975</v>
      </c>
      <c r="C92" t="s">
        <v>2</v>
      </c>
      <c r="D92" s="99">
        <v>0.17</v>
      </c>
      <c r="E92" s="100">
        <v>0.26</v>
      </c>
      <c r="F92" s="118">
        <v>0</v>
      </c>
      <c r="G92" s="126">
        <v>0</v>
      </c>
      <c r="H92" s="171">
        <v>0.02</v>
      </c>
    </row>
    <row r="93" spans="2:8" x14ac:dyDescent="0.25">
      <c r="B93">
        <v>1980</v>
      </c>
      <c r="C93" t="s">
        <v>2</v>
      </c>
      <c r="D93" s="99">
        <v>0.16</v>
      </c>
      <c r="E93" s="100">
        <v>0.25</v>
      </c>
      <c r="F93" s="118">
        <v>0</v>
      </c>
      <c r="G93" s="126">
        <v>0</v>
      </c>
      <c r="H93" s="171">
        <v>0.01</v>
      </c>
    </row>
    <row r="94" spans="2:8" x14ac:dyDescent="0.25">
      <c r="B94">
        <v>1985</v>
      </c>
      <c r="C94" t="s">
        <v>2</v>
      </c>
      <c r="D94" s="99">
        <v>0.16</v>
      </c>
      <c r="E94" s="100">
        <v>0.23</v>
      </c>
      <c r="F94" s="118">
        <v>0</v>
      </c>
      <c r="G94" s="126">
        <v>0</v>
      </c>
      <c r="H94" s="171">
        <v>0.01</v>
      </c>
    </row>
    <row r="95" spans="2:8" x14ac:dyDescent="0.25">
      <c r="B95">
        <v>1990</v>
      </c>
      <c r="C95" t="s">
        <v>2</v>
      </c>
      <c r="D95" s="99">
        <v>0.15</v>
      </c>
      <c r="E95" s="100">
        <v>0.21</v>
      </c>
      <c r="F95" s="118">
        <v>0</v>
      </c>
      <c r="G95" s="126">
        <v>0</v>
      </c>
      <c r="H95" s="171">
        <v>0.01</v>
      </c>
    </row>
    <row r="96" spans="2:8" x14ac:dyDescent="0.25">
      <c r="B96">
        <v>1995</v>
      </c>
      <c r="C96" t="s">
        <v>2</v>
      </c>
      <c r="D96" s="99">
        <v>0.14000000000000001</v>
      </c>
      <c r="E96" s="100">
        <v>0.19</v>
      </c>
      <c r="F96" s="118">
        <v>0</v>
      </c>
      <c r="G96" s="126">
        <v>0</v>
      </c>
      <c r="H96" s="171">
        <v>0.01</v>
      </c>
    </row>
    <row r="97" spans="2:8" x14ac:dyDescent="0.25">
      <c r="B97">
        <v>2000</v>
      </c>
      <c r="C97" t="s">
        <v>2</v>
      </c>
      <c r="D97" s="99">
        <v>0.13</v>
      </c>
      <c r="E97" s="100">
        <v>0.18</v>
      </c>
      <c r="F97" s="118">
        <v>0</v>
      </c>
      <c r="G97" s="126">
        <v>0</v>
      </c>
      <c r="H97" s="171">
        <v>0</v>
      </c>
    </row>
    <row r="98" spans="2:8" x14ac:dyDescent="0.25">
      <c r="B98">
        <v>2005</v>
      </c>
      <c r="C98" t="s">
        <v>2</v>
      </c>
      <c r="D98" s="99">
        <v>0.12</v>
      </c>
      <c r="E98" s="100">
        <v>0.16</v>
      </c>
      <c r="F98" s="118">
        <v>0</v>
      </c>
      <c r="G98" s="126">
        <v>0</v>
      </c>
      <c r="H98" s="171">
        <v>0</v>
      </c>
    </row>
    <row r="99" spans="2:8" x14ac:dyDescent="0.25">
      <c r="B99">
        <v>2010</v>
      </c>
      <c r="C99" t="s">
        <v>2</v>
      </c>
      <c r="D99" s="99">
        <v>0.11</v>
      </c>
      <c r="E99" s="100">
        <v>0.14000000000000001</v>
      </c>
      <c r="F99" s="118">
        <v>0</v>
      </c>
      <c r="G99" s="126">
        <v>0</v>
      </c>
      <c r="H99" s="171">
        <v>0</v>
      </c>
    </row>
    <row r="100" spans="2:8" x14ac:dyDescent="0.25">
      <c r="B100">
        <v>2015</v>
      </c>
      <c r="C100" t="s">
        <v>2</v>
      </c>
      <c r="D100" s="99">
        <v>0.1</v>
      </c>
      <c r="E100" s="100">
        <v>0.13</v>
      </c>
      <c r="F100" s="118">
        <v>0</v>
      </c>
      <c r="G100" s="126">
        <v>0</v>
      </c>
      <c r="H100" s="171">
        <v>0</v>
      </c>
    </row>
    <row r="101" spans="2:8" x14ac:dyDescent="0.25">
      <c r="B101">
        <v>2020</v>
      </c>
      <c r="C101" t="s">
        <v>2</v>
      </c>
      <c r="D101" s="99">
        <v>0.09</v>
      </c>
      <c r="E101" s="100">
        <v>0.11</v>
      </c>
      <c r="F101" s="118">
        <v>0</v>
      </c>
      <c r="G101" s="126">
        <v>0</v>
      </c>
      <c r="H101" s="171">
        <v>0</v>
      </c>
    </row>
    <row r="102" spans="2:8" x14ac:dyDescent="0.25">
      <c r="B102">
        <v>2025</v>
      </c>
      <c r="C102" t="s">
        <v>2</v>
      </c>
      <c r="D102" s="99">
        <v>0.08</v>
      </c>
      <c r="E102" s="100">
        <v>0.1</v>
      </c>
      <c r="F102" s="118">
        <v>0</v>
      </c>
      <c r="G102" s="126">
        <v>0</v>
      </c>
      <c r="H102" s="171">
        <v>0</v>
      </c>
    </row>
    <row r="103" spans="2:8" x14ac:dyDescent="0.25">
      <c r="B103">
        <v>2030</v>
      </c>
      <c r="C103" t="s">
        <v>2</v>
      </c>
      <c r="D103" s="99">
        <v>7.0000000000000007E-2</v>
      </c>
      <c r="E103" s="100">
        <v>0.09</v>
      </c>
      <c r="F103" s="118">
        <v>0</v>
      </c>
      <c r="G103" s="126">
        <v>0</v>
      </c>
      <c r="H103" s="171">
        <v>0</v>
      </c>
    </row>
    <row r="104" spans="2:8" x14ac:dyDescent="0.25">
      <c r="B104">
        <v>2035</v>
      </c>
      <c r="C104" t="s">
        <v>2</v>
      </c>
      <c r="D104" s="99">
        <v>0.06</v>
      </c>
      <c r="E104" s="100">
        <v>7.0000000000000007E-2</v>
      </c>
      <c r="F104" s="118">
        <v>0</v>
      </c>
      <c r="G104" s="126">
        <v>0</v>
      </c>
      <c r="H104" s="171">
        <v>0</v>
      </c>
    </row>
    <row r="105" spans="2:8" x14ac:dyDescent="0.25">
      <c r="B105">
        <v>2040</v>
      </c>
      <c r="C105" t="s">
        <v>2</v>
      </c>
      <c r="D105" s="99">
        <v>0.05</v>
      </c>
      <c r="E105" s="100">
        <v>0.06</v>
      </c>
      <c r="F105" s="118">
        <v>0</v>
      </c>
      <c r="G105" s="126">
        <v>0</v>
      </c>
      <c r="H105" s="171">
        <v>0</v>
      </c>
    </row>
    <row r="106" spans="2:8" x14ac:dyDescent="0.25">
      <c r="B106">
        <v>2045</v>
      </c>
      <c r="C106" t="s">
        <v>2</v>
      </c>
      <c r="D106" s="99">
        <v>0.04</v>
      </c>
      <c r="E106" s="100">
        <v>0.05</v>
      </c>
      <c r="F106" s="118">
        <v>0</v>
      </c>
      <c r="G106" s="126">
        <v>0</v>
      </c>
      <c r="H106" s="171">
        <v>0</v>
      </c>
    </row>
    <row r="107" spans="2:8" x14ac:dyDescent="0.25">
      <c r="B107">
        <v>2050</v>
      </c>
      <c r="C107" t="s">
        <v>2</v>
      </c>
      <c r="D107" s="99">
        <v>0.04</v>
      </c>
      <c r="E107" s="100">
        <v>0.05</v>
      </c>
      <c r="F107" s="118">
        <v>0</v>
      </c>
      <c r="G107" s="126">
        <v>0</v>
      </c>
      <c r="H107" s="171">
        <v>0</v>
      </c>
    </row>
    <row r="108" spans="2:8" x14ac:dyDescent="0.25">
      <c r="B108">
        <v>2055</v>
      </c>
      <c r="C108" t="s">
        <v>2</v>
      </c>
      <c r="D108" s="99">
        <v>0.03</v>
      </c>
      <c r="E108" s="100">
        <v>0.04</v>
      </c>
      <c r="F108" s="118">
        <v>0</v>
      </c>
      <c r="G108" s="126">
        <v>0</v>
      </c>
      <c r="H108" s="171">
        <v>0</v>
      </c>
    </row>
    <row r="109" spans="2:8" x14ac:dyDescent="0.25">
      <c r="B109">
        <v>2060</v>
      </c>
      <c r="C109" t="s">
        <v>2</v>
      </c>
      <c r="D109" s="99">
        <v>0.02</v>
      </c>
      <c r="E109" s="100">
        <v>0.03</v>
      </c>
      <c r="F109" s="118">
        <v>0</v>
      </c>
      <c r="G109" s="126">
        <v>0</v>
      </c>
      <c r="H109" s="171">
        <v>0</v>
      </c>
    </row>
    <row r="110" spans="2:8" x14ac:dyDescent="0.25">
      <c r="B110">
        <v>2065</v>
      </c>
      <c r="C110" t="s">
        <v>2</v>
      </c>
      <c r="D110" s="99">
        <v>0.02</v>
      </c>
      <c r="E110" s="100">
        <v>0.03</v>
      </c>
      <c r="F110" s="118">
        <v>0</v>
      </c>
      <c r="G110" s="126">
        <v>0</v>
      </c>
      <c r="H110" s="171">
        <v>0</v>
      </c>
    </row>
    <row r="111" spans="2:8" x14ac:dyDescent="0.25">
      <c r="B111">
        <v>2070</v>
      </c>
      <c r="C111" t="s">
        <v>2</v>
      </c>
      <c r="D111" s="99">
        <v>0.01</v>
      </c>
      <c r="E111" s="100">
        <v>0.02</v>
      </c>
      <c r="F111" s="118">
        <v>0</v>
      </c>
      <c r="G111" s="126">
        <v>0</v>
      </c>
      <c r="H111" s="171">
        <v>0</v>
      </c>
    </row>
    <row r="112" spans="2:8" x14ac:dyDescent="0.25">
      <c r="B112">
        <v>2075</v>
      </c>
      <c r="C112" t="s">
        <v>2</v>
      </c>
      <c r="D112" s="99">
        <v>0.01</v>
      </c>
      <c r="E112" s="100">
        <v>0.02</v>
      </c>
      <c r="F112" s="118">
        <v>0</v>
      </c>
      <c r="G112" s="126">
        <v>0</v>
      </c>
      <c r="H112" s="171">
        <v>0</v>
      </c>
    </row>
    <row r="113" spans="2:8" x14ac:dyDescent="0.25">
      <c r="B113">
        <v>2080</v>
      </c>
      <c r="C113" t="s">
        <v>2</v>
      </c>
      <c r="D113" s="99">
        <v>0.01</v>
      </c>
      <c r="E113" s="100">
        <v>0.01</v>
      </c>
      <c r="F113" s="118">
        <v>0</v>
      </c>
      <c r="G113" s="126">
        <v>0</v>
      </c>
      <c r="H113" s="171">
        <v>0</v>
      </c>
    </row>
    <row r="114" spans="2:8" x14ac:dyDescent="0.25">
      <c r="B114">
        <v>2085</v>
      </c>
      <c r="C114" t="s">
        <v>2</v>
      </c>
      <c r="D114" s="99">
        <v>0.01</v>
      </c>
      <c r="E114" s="100">
        <v>0.01</v>
      </c>
      <c r="F114" s="118">
        <v>0</v>
      </c>
      <c r="G114" s="126">
        <v>0</v>
      </c>
      <c r="H114" s="171">
        <v>0</v>
      </c>
    </row>
    <row r="115" spans="2:8" x14ac:dyDescent="0.25">
      <c r="B115">
        <v>2090</v>
      </c>
      <c r="C115" t="s">
        <v>2</v>
      </c>
      <c r="D115" s="99">
        <v>0.01</v>
      </c>
      <c r="E115" s="100">
        <v>0.01</v>
      </c>
      <c r="F115" s="118">
        <v>0</v>
      </c>
      <c r="G115" s="126">
        <v>0</v>
      </c>
      <c r="H115" s="171">
        <v>0</v>
      </c>
    </row>
    <row r="116" spans="2:8" x14ac:dyDescent="0.25">
      <c r="B116">
        <v>2095</v>
      </c>
      <c r="C116" t="s">
        <v>2</v>
      </c>
      <c r="D116" s="99">
        <v>0</v>
      </c>
      <c r="E116" s="100">
        <v>0.01</v>
      </c>
      <c r="F116" s="118">
        <v>0</v>
      </c>
      <c r="G116" s="126">
        <v>0</v>
      </c>
      <c r="H116" s="171">
        <v>0</v>
      </c>
    </row>
    <row r="117" spans="2:8" x14ac:dyDescent="0.25">
      <c r="B117">
        <v>2100</v>
      </c>
      <c r="C117" t="s">
        <v>2</v>
      </c>
      <c r="D117" s="99">
        <v>0</v>
      </c>
      <c r="E117" s="100">
        <v>0</v>
      </c>
      <c r="F117" s="118">
        <v>0</v>
      </c>
      <c r="G117" s="126">
        <v>0</v>
      </c>
      <c r="H117" s="171">
        <v>0</v>
      </c>
    </row>
    <row r="118" spans="2:8" x14ac:dyDescent="0.25">
      <c r="B118">
        <v>1970</v>
      </c>
      <c r="C118" t="s">
        <v>3</v>
      </c>
      <c r="D118" s="99">
        <v>0.14000000000000001</v>
      </c>
      <c r="E118" s="100">
        <v>0.12</v>
      </c>
      <c r="F118" s="118">
        <v>0</v>
      </c>
      <c r="G118" s="126">
        <v>0</v>
      </c>
      <c r="H118" s="171">
        <v>0.3</v>
      </c>
    </row>
    <row r="119" spans="2:8" x14ac:dyDescent="0.25">
      <c r="B119">
        <v>1975</v>
      </c>
      <c r="C119" t="s">
        <v>3</v>
      </c>
      <c r="D119" s="99">
        <v>0.16</v>
      </c>
      <c r="E119" s="100">
        <v>0.14000000000000001</v>
      </c>
      <c r="F119" s="118">
        <v>0</v>
      </c>
      <c r="G119" s="126">
        <v>0</v>
      </c>
      <c r="H119" s="171">
        <v>0.25</v>
      </c>
    </row>
    <row r="120" spans="2:8" x14ac:dyDescent="0.25">
      <c r="B120">
        <v>1980</v>
      </c>
      <c r="C120" t="s">
        <v>3</v>
      </c>
      <c r="D120" s="99">
        <v>0.18</v>
      </c>
      <c r="E120" s="100">
        <v>0.15</v>
      </c>
      <c r="F120" s="118">
        <v>0</v>
      </c>
      <c r="G120" s="126">
        <v>0</v>
      </c>
      <c r="H120" s="171">
        <v>0.21</v>
      </c>
    </row>
    <row r="121" spans="2:8" x14ac:dyDescent="0.25">
      <c r="B121">
        <v>1985</v>
      </c>
      <c r="C121" t="s">
        <v>3</v>
      </c>
      <c r="D121" s="99">
        <v>0.19</v>
      </c>
      <c r="E121" s="100">
        <v>0.17</v>
      </c>
      <c r="F121" s="118">
        <v>0</v>
      </c>
      <c r="G121" s="126">
        <v>0</v>
      </c>
      <c r="H121" s="171">
        <v>0.16</v>
      </c>
    </row>
    <row r="122" spans="2:8" x14ac:dyDescent="0.25">
      <c r="B122">
        <v>1990</v>
      </c>
      <c r="C122" t="s">
        <v>3</v>
      </c>
      <c r="D122" s="99">
        <v>0.2</v>
      </c>
      <c r="E122" s="100">
        <v>0.18</v>
      </c>
      <c r="F122" s="118">
        <v>0</v>
      </c>
      <c r="G122" s="126">
        <v>0</v>
      </c>
      <c r="H122" s="171">
        <v>0.14000000000000001</v>
      </c>
    </row>
    <row r="123" spans="2:8" x14ac:dyDescent="0.25">
      <c r="B123">
        <v>1995</v>
      </c>
      <c r="C123" t="s">
        <v>3</v>
      </c>
      <c r="D123" s="99">
        <v>0.2</v>
      </c>
      <c r="E123" s="100">
        <v>0.19</v>
      </c>
      <c r="F123" s="118">
        <v>0</v>
      </c>
      <c r="G123" s="126">
        <v>0</v>
      </c>
      <c r="H123" s="171">
        <v>0.11</v>
      </c>
    </row>
    <row r="124" spans="2:8" x14ac:dyDescent="0.25">
      <c r="B124">
        <v>2000</v>
      </c>
      <c r="C124" t="s">
        <v>3</v>
      </c>
      <c r="D124" s="99">
        <v>0.2</v>
      </c>
      <c r="E124" s="100">
        <v>0.2</v>
      </c>
      <c r="F124" s="118">
        <v>0</v>
      </c>
      <c r="G124" s="126">
        <v>0</v>
      </c>
      <c r="H124" s="171">
        <v>0.09</v>
      </c>
    </row>
    <row r="125" spans="2:8" x14ac:dyDescent="0.25">
      <c r="B125">
        <v>2005</v>
      </c>
      <c r="C125" t="s">
        <v>3</v>
      </c>
      <c r="D125" s="99">
        <v>0.2</v>
      </c>
      <c r="E125" s="100">
        <v>0.2</v>
      </c>
      <c r="F125" s="118">
        <v>0</v>
      </c>
      <c r="G125" s="126">
        <v>0</v>
      </c>
      <c r="H125" s="171">
        <v>7.0000000000000007E-2</v>
      </c>
    </row>
    <row r="126" spans="2:8" x14ac:dyDescent="0.25">
      <c r="B126">
        <v>2010</v>
      </c>
      <c r="C126" t="s">
        <v>3</v>
      </c>
      <c r="D126" s="99">
        <v>0.19</v>
      </c>
      <c r="E126" s="100">
        <v>0.21</v>
      </c>
      <c r="F126" s="118">
        <v>0.01</v>
      </c>
      <c r="G126" s="126">
        <v>0</v>
      </c>
      <c r="H126" s="171">
        <v>0.05</v>
      </c>
    </row>
    <row r="127" spans="2:8" x14ac:dyDescent="0.25">
      <c r="B127">
        <v>2015</v>
      </c>
      <c r="C127" t="s">
        <v>3</v>
      </c>
      <c r="D127" s="99">
        <v>0.19</v>
      </c>
      <c r="E127" s="100">
        <v>0.22</v>
      </c>
      <c r="F127" s="118">
        <v>0.01</v>
      </c>
      <c r="G127" s="126">
        <v>0</v>
      </c>
      <c r="H127" s="171">
        <v>0.04</v>
      </c>
    </row>
    <row r="128" spans="2:8" x14ac:dyDescent="0.25">
      <c r="B128">
        <v>2020</v>
      </c>
      <c r="C128" t="s">
        <v>3</v>
      </c>
      <c r="D128" s="99">
        <v>0.18</v>
      </c>
      <c r="E128" s="100">
        <v>0.22</v>
      </c>
      <c r="F128" s="118">
        <v>0.01</v>
      </c>
      <c r="G128" s="126">
        <v>0</v>
      </c>
      <c r="H128" s="171">
        <v>0.03</v>
      </c>
    </row>
    <row r="129" spans="2:8" x14ac:dyDescent="0.25">
      <c r="B129">
        <v>2025</v>
      </c>
      <c r="C129" t="s">
        <v>3</v>
      </c>
      <c r="D129" s="99">
        <v>0.17</v>
      </c>
      <c r="E129" s="100">
        <v>0.22</v>
      </c>
      <c r="F129" s="118">
        <v>0.01</v>
      </c>
      <c r="G129" s="126">
        <v>0</v>
      </c>
      <c r="H129" s="171">
        <v>0.02</v>
      </c>
    </row>
    <row r="130" spans="2:8" x14ac:dyDescent="0.25">
      <c r="B130">
        <v>2030</v>
      </c>
      <c r="C130" t="s">
        <v>3</v>
      </c>
      <c r="D130" s="99">
        <v>0.16</v>
      </c>
      <c r="E130" s="100">
        <v>0.22</v>
      </c>
      <c r="F130" s="118">
        <v>0.01</v>
      </c>
      <c r="G130" s="126">
        <v>0</v>
      </c>
      <c r="H130" s="171">
        <v>0.02</v>
      </c>
    </row>
    <row r="131" spans="2:8" x14ac:dyDescent="0.25">
      <c r="B131">
        <v>2035</v>
      </c>
      <c r="C131" t="s">
        <v>3</v>
      </c>
      <c r="D131" s="99">
        <v>0.15</v>
      </c>
      <c r="E131" s="100">
        <v>0.22</v>
      </c>
      <c r="F131" s="118">
        <v>0.01</v>
      </c>
      <c r="G131" s="126">
        <v>0</v>
      </c>
      <c r="H131" s="171">
        <v>0.01</v>
      </c>
    </row>
    <row r="132" spans="2:8" x14ac:dyDescent="0.25">
      <c r="B132">
        <v>2040</v>
      </c>
      <c r="C132" t="s">
        <v>3</v>
      </c>
      <c r="D132" s="99">
        <v>0.14000000000000001</v>
      </c>
      <c r="E132" s="100">
        <v>0.21</v>
      </c>
      <c r="F132" s="118">
        <v>0.01</v>
      </c>
      <c r="G132" s="126">
        <v>0</v>
      </c>
      <c r="H132" s="171">
        <v>0.01</v>
      </c>
    </row>
    <row r="133" spans="2:8" x14ac:dyDescent="0.25">
      <c r="B133">
        <v>2045</v>
      </c>
      <c r="C133" t="s">
        <v>3</v>
      </c>
      <c r="D133" s="99">
        <v>0.13</v>
      </c>
      <c r="E133" s="100">
        <v>0.2</v>
      </c>
      <c r="F133" s="118">
        <v>0.01</v>
      </c>
      <c r="G133" s="126">
        <v>0</v>
      </c>
      <c r="H133" s="171">
        <v>0.01</v>
      </c>
    </row>
    <row r="134" spans="2:8" x14ac:dyDescent="0.25">
      <c r="B134">
        <v>2050</v>
      </c>
      <c r="C134" t="s">
        <v>3</v>
      </c>
      <c r="D134" s="99">
        <v>0.12</v>
      </c>
      <c r="E134" s="100">
        <v>0.19</v>
      </c>
      <c r="F134" s="118">
        <v>0.01</v>
      </c>
      <c r="G134" s="126">
        <v>0</v>
      </c>
      <c r="H134" s="171">
        <v>0.01</v>
      </c>
    </row>
    <row r="135" spans="2:8" x14ac:dyDescent="0.25">
      <c r="B135">
        <v>2055</v>
      </c>
      <c r="C135" t="s">
        <v>3</v>
      </c>
      <c r="D135" s="99">
        <v>0.1</v>
      </c>
      <c r="E135" s="100">
        <v>0.18</v>
      </c>
      <c r="F135" s="118">
        <v>0.01</v>
      </c>
      <c r="G135" s="126">
        <v>0</v>
      </c>
      <c r="H135" s="171">
        <v>0.01</v>
      </c>
    </row>
    <row r="136" spans="2:8" x14ac:dyDescent="0.25">
      <c r="B136">
        <v>2060</v>
      </c>
      <c r="C136" t="s">
        <v>3</v>
      </c>
      <c r="D136" s="99">
        <v>0.09</v>
      </c>
      <c r="E136" s="100">
        <v>0.17</v>
      </c>
      <c r="F136" s="118">
        <v>0</v>
      </c>
      <c r="G136" s="126">
        <v>0</v>
      </c>
      <c r="H136" s="171">
        <v>0.01</v>
      </c>
    </row>
    <row r="137" spans="2:8" x14ac:dyDescent="0.25">
      <c r="B137">
        <v>2065</v>
      </c>
      <c r="C137" t="s">
        <v>3</v>
      </c>
      <c r="D137" s="99">
        <v>0.08</v>
      </c>
      <c r="E137" s="100">
        <v>0.16</v>
      </c>
      <c r="F137" s="118">
        <v>0</v>
      </c>
      <c r="G137" s="126">
        <v>0</v>
      </c>
      <c r="H137" s="171">
        <v>0.01</v>
      </c>
    </row>
    <row r="138" spans="2:8" x14ac:dyDescent="0.25">
      <c r="B138">
        <v>2070</v>
      </c>
      <c r="C138" t="s">
        <v>3</v>
      </c>
      <c r="D138" s="99">
        <v>7.0000000000000007E-2</v>
      </c>
      <c r="E138" s="100">
        <v>0.15</v>
      </c>
      <c r="F138" s="118">
        <v>0</v>
      </c>
      <c r="G138" s="126">
        <v>0</v>
      </c>
      <c r="H138" s="171">
        <v>0.01</v>
      </c>
    </row>
    <row r="139" spans="2:8" x14ac:dyDescent="0.25">
      <c r="B139">
        <v>2075</v>
      </c>
      <c r="C139" t="s">
        <v>3</v>
      </c>
      <c r="D139" s="99">
        <v>0.06</v>
      </c>
      <c r="E139" s="100">
        <v>0.14000000000000001</v>
      </c>
      <c r="F139" s="118">
        <v>0</v>
      </c>
      <c r="G139" s="126">
        <v>0</v>
      </c>
      <c r="H139" s="171">
        <v>0.01</v>
      </c>
    </row>
    <row r="140" spans="2:8" x14ac:dyDescent="0.25">
      <c r="B140">
        <v>2080</v>
      </c>
      <c r="C140" t="s">
        <v>3</v>
      </c>
      <c r="D140" s="99">
        <v>0.06</v>
      </c>
      <c r="E140" s="100">
        <v>0.13</v>
      </c>
      <c r="F140" s="118">
        <v>0</v>
      </c>
      <c r="G140" s="126">
        <v>0</v>
      </c>
      <c r="H140" s="171">
        <v>0.01</v>
      </c>
    </row>
    <row r="141" spans="2:8" x14ac:dyDescent="0.25">
      <c r="B141">
        <v>2085</v>
      </c>
      <c r="C141" t="s">
        <v>3</v>
      </c>
      <c r="D141" s="99">
        <v>0.05</v>
      </c>
      <c r="E141" s="100">
        <v>0.12</v>
      </c>
      <c r="F141" s="118">
        <v>0</v>
      </c>
      <c r="G141" s="126">
        <v>0</v>
      </c>
      <c r="H141" s="171">
        <v>0.01</v>
      </c>
    </row>
    <row r="142" spans="2:8" x14ac:dyDescent="0.25">
      <c r="B142">
        <v>2090</v>
      </c>
      <c r="C142" t="s">
        <v>3</v>
      </c>
      <c r="D142" s="99">
        <v>0.04</v>
      </c>
      <c r="E142" s="100">
        <v>0.1</v>
      </c>
      <c r="F142" s="118">
        <v>0</v>
      </c>
      <c r="G142" s="126">
        <v>0</v>
      </c>
      <c r="H142" s="171">
        <v>0.01</v>
      </c>
    </row>
    <row r="143" spans="2:8" x14ac:dyDescent="0.25">
      <c r="B143">
        <v>2095</v>
      </c>
      <c r="C143" t="s">
        <v>3</v>
      </c>
      <c r="D143" s="99">
        <v>0.04</v>
      </c>
      <c r="E143" s="100">
        <v>0.09</v>
      </c>
      <c r="F143" s="118">
        <v>0</v>
      </c>
      <c r="G143" s="126">
        <v>0</v>
      </c>
      <c r="H143" s="171">
        <v>0.01</v>
      </c>
    </row>
    <row r="144" spans="2:8" x14ac:dyDescent="0.25">
      <c r="B144">
        <v>2100</v>
      </c>
      <c r="C144" t="s">
        <v>3</v>
      </c>
      <c r="D144" s="99">
        <v>0.03</v>
      </c>
      <c r="E144" s="100">
        <v>0.08</v>
      </c>
      <c r="F144" s="118">
        <v>0</v>
      </c>
      <c r="G144" s="126">
        <v>0</v>
      </c>
      <c r="H144" s="171">
        <v>0.01</v>
      </c>
    </row>
    <row r="145" spans="2:8" x14ac:dyDescent="0.25">
      <c r="B145">
        <v>1970</v>
      </c>
      <c r="C145" t="s">
        <v>4</v>
      </c>
      <c r="D145" s="99">
        <v>0.02</v>
      </c>
      <c r="E145" s="100">
        <v>0.03</v>
      </c>
      <c r="F145" s="118">
        <v>0.56999999999999995</v>
      </c>
      <c r="G145" s="126">
        <v>0.5</v>
      </c>
      <c r="H145" s="171">
        <v>0.18</v>
      </c>
    </row>
    <row r="146" spans="2:8" x14ac:dyDescent="0.25">
      <c r="B146">
        <v>1975</v>
      </c>
      <c r="C146" t="s">
        <v>4</v>
      </c>
      <c r="D146" s="99">
        <v>0.03</v>
      </c>
      <c r="E146" s="100">
        <v>0.04</v>
      </c>
      <c r="F146" s="118">
        <v>0.54</v>
      </c>
      <c r="G146" s="126">
        <v>0.47</v>
      </c>
      <c r="H146" s="171">
        <v>0.19</v>
      </c>
    </row>
    <row r="147" spans="2:8" x14ac:dyDescent="0.25">
      <c r="B147">
        <v>1980</v>
      </c>
      <c r="C147" t="s">
        <v>4</v>
      </c>
      <c r="D147" s="99">
        <v>0.04</v>
      </c>
      <c r="E147" s="100">
        <v>0.04</v>
      </c>
      <c r="F147" s="118">
        <v>0.5</v>
      </c>
      <c r="G147" s="126">
        <v>0.45</v>
      </c>
      <c r="H147" s="171">
        <v>0.19</v>
      </c>
    </row>
    <row r="148" spans="2:8" x14ac:dyDescent="0.25">
      <c r="B148">
        <v>1985</v>
      </c>
      <c r="C148" t="s">
        <v>4</v>
      </c>
      <c r="D148" s="99">
        <v>0.05</v>
      </c>
      <c r="E148" s="100">
        <v>0.05</v>
      </c>
      <c r="F148" s="118">
        <v>0.45</v>
      </c>
      <c r="G148" s="126">
        <v>0.42</v>
      </c>
      <c r="H148" s="171">
        <v>0.19</v>
      </c>
    </row>
    <row r="149" spans="2:8" x14ac:dyDescent="0.25">
      <c r="B149">
        <v>1990</v>
      </c>
      <c r="C149" t="s">
        <v>4</v>
      </c>
      <c r="D149" s="99">
        <v>0.05</v>
      </c>
      <c r="E149" s="100">
        <v>0.06</v>
      </c>
      <c r="F149" s="118">
        <v>0.41</v>
      </c>
      <c r="G149" s="126">
        <v>0.4</v>
      </c>
      <c r="H149" s="171">
        <v>0.18</v>
      </c>
    </row>
    <row r="150" spans="2:8" x14ac:dyDescent="0.25">
      <c r="B150">
        <v>1995</v>
      </c>
      <c r="C150" t="s">
        <v>4</v>
      </c>
      <c r="D150" s="99">
        <v>0.06</v>
      </c>
      <c r="E150" s="100">
        <v>7.0000000000000007E-2</v>
      </c>
      <c r="F150" s="118">
        <v>0.37</v>
      </c>
      <c r="G150" s="126">
        <v>0.36</v>
      </c>
      <c r="H150" s="171">
        <v>0.18</v>
      </c>
    </row>
    <row r="151" spans="2:8" x14ac:dyDescent="0.25">
      <c r="B151">
        <v>2000</v>
      </c>
      <c r="C151" t="s">
        <v>4</v>
      </c>
      <c r="D151" s="99">
        <v>0.06</v>
      </c>
      <c r="E151" s="100">
        <v>0.08</v>
      </c>
      <c r="F151" s="118">
        <v>0.34</v>
      </c>
      <c r="G151" s="126">
        <v>0.32</v>
      </c>
      <c r="H151" s="171">
        <v>0.17</v>
      </c>
    </row>
    <row r="152" spans="2:8" x14ac:dyDescent="0.25">
      <c r="B152">
        <v>2005</v>
      </c>
      <c r="C152" t="s">
        <v>4</v>
      </c>
      <c r="D152" s="99">
        <v>7.0000000000000007E-2</v>
      </c>
      <c r="E152" s="100">
        <v>0.1</v>
      </c>
      <c r="F152" s="118">
        <v>0.31</v>
      </c>
      <c r="G152" s="126">
        <v>0.3</v>
      </c>
      <c r="H152" s="171">
        <v>0.17</v>
      </c>
    </row>
    <row r="153" spans="2:8" x14ac:dyDescent="0.25">
      <c r="B153">
        <v>2010</v>
      </c>
      <c r="C153" t="s">
        <v>4</v>
      </c>
      <c r="D153" s="99">
        <v>0.08</v>
      </c>
      <c r="E153" s="100">
        <v>0.11</v>
      </c>
      <c r="F153" s="118">
        <v>0.2</v>
      </c>
      <c r="G153" s="126">
        <v>0.28000000000000003</v>
      </c>
      <c r="H153" s="171">
        <v>0.14000000000000001</v>
      </c>
    </row>
    <row r="154" spans="2:8" x14ac:dyDescent="0.25">
      <c r="B154">
        <v>2015</v>
      </c>
      <c r="C154" t="s">
        <v>4</v>
      </c>
      <c r="D154" s="99">
        <v>7.0000000000000007E-2</v>
      </c>
      <c r="E154" s="100">
        <v>0.11</v>
      </c>
      <c r="F154" s="118">
        <v>0.19</v>
      </c>
      <c r="G154" s="126">
        <v>0.26</v>
      </c>
      <c r="H154" s="171">
        <v>0.12</v>
      </c>
    </row>
    <row r="155" spans="2:8" x14ac:dyDescent="0.25">
      <c r="B155">
        <v>2020</v>
      </c>
      <c r="C155" t="s">
        <v>4</v>
      </c>
      <c r="D155" s="99">
        <v>0.08</v>
      </c>
      <c r="E155" s="100">
        <v>0.12</v>
      </c>
      <c r="F155" s="118">
        <v>0.18</v>
      </c>
      <c r="G155" s="126">
        <v>0.24</v>
      </c>
      <c r="H155" s="171">
        <v>0.1</v>
      </c>
    </row>
    <row r="156" spans="2:8" x14ac:dyDescent="0.25">
      <c r="B156">
        <v>2025</v>
      </c>
      <c r="C156" t="s">
        <v>4</v>
      </c>
      <c r="D156" s="99">
        <v>0.08</v>
      </c>
      <c r="E156" s="100">
        <v>0.12</v>
      </c>
      <c r="F156" s="118">
        <v>0.17</v>
      </c>
      <c r="G156" s="126">
        <v>0.22</v>
      </c>
      <c r="H156" s="171">
        <v>0.1</v>
      </c>
    </row>
    <row r="157" spans="2:8" x14ac:dyDescent="0.25">
      <c r="B157">
        <v>2030</v>
      </c>
      <c r="C157" t="s">
        <v>4</v>
      </c>
      <c r="D157" s="99">
        <v>7.0000000000000007E-2</v>
      </c>
      <c r="E157" s="100">
        <v>0.13</v>
      </c>
      <c r="F157" s="118">
        <v>0.17</v>
      </c>
      <c r="G157" s="126">
        <v>0.19</v>
      </c>
      <c r="H157" s="171">
        <v>0.08</v>
      </c>
    </row>
    <row r="158" spans="2:8" x14ac:dyDescent="0.25">
      <c r="B158">
        <v>2035</v>
      </c>
      <c r="C158" t="s">
        <v>4</v>
      </c>
      <c r="D158" s="99">
        <v>7.0000000000000007E-2</v>
      </c>
      <c r="E158" s="100">
        <v>0.13</v>
      </c>
      <c r="F158" s="118">
        <v>0.16</v>
      </c>
      <c r="G158" s="126">
        <v>0.18</v>
      </c>
      <c r="H158" s="171">
        <v>0.08</v>
      </c>
    </row>
    <row r="159" spans="2:8" x14ac:dyDescent="0.25">
      <c r="B159">
        <v>2040</v>
      </c>
      <c r="C159" t="s">
        <v>4</v>
      </c>
      <c r="D159" s="99">
        <v>7.0000000000000007E-2</v>
      </c>
      <c r="E159" s="100">
        <v>0.13</v>
      </c>
      <c r="F159" s="118">
        <v>0.16</v>
      </c>
      <c r="G159" s="126">
        <v>0.16</v>
      </c>
      <c r="H159" s="171">
        <v>7.0000000000000007E-2</v>
      </c>
    </row>
    <row r="160" spans="2:8" x14ac:dyDescent="0.25">
      <c r="B160">
        <v>2045</v>
      </c>
      <c r="C160" t="s">
        <v>4</v>
      </c>
      <c r="D160" s="99">
        <v>7.0000000000000007E-2</v>
      </c>
      <c r="E160" s="100">
        <v>0.13</v>
      </c>
      <c r="F160" s="118">
        <v>0.15</v>
      </c>
      <c r="G160" s="126">
        <v>0.15</v>
      </c>
      <c r="H160" s="171">
        <v>0.06</v>
      </c>
    </row>
    <row r="161" spans="2:8" x14ac:dyDescent="0.25">
      <c r="B161">
        <v>2050</v>
      </c>
      <c r="C161" t="s">
        <v>4</v>
      </c>
      <c r="D161" s="99">
        <v>0.06</v>
      </c>
      <c r="E161" s="100">
        <v>0.13</v>
      </c>
      <c r="F161" s="118">
        <v>0.15</v>
      </c>
      <c r="G161" s="126">
        <v>0.14000000000000001</v>
      </c>
      <c r="H161" s="171">
        <v>0.05</v>
      </c>
    </row>
    <row r="162" spans="2:8" x14ac:dyDescent="0.25">
      <c r="B162">
        <v>2055</v>
      </c>
      <c r="C162" t="s">
        <v>4</v>
      </c>
      <c r="D162" s="99">
        <v>0.06</v>
      </c>
      <c r="E162" s="100">
        <v>0.13</v>
      </c>
      <c r="F162" s="118">
        <v>0.14000000000000001</v>
      </c>
      <c r="G162" s="126">
        <v>0.13</v>
      </c>
      <c r="H162" s="171">
        <v>0.05</v>
      </c>
    </row>
    <row r="163" spans="2:8" x14ac:dyDescent="0.25">
      <c r="B163">
        <v>2060</v>
      </c>
      <c r="C163" t="s">
        <v>4</v>
      </c>
      <c r="D163" s="99">
        <v>0.05</v>
      </c>
      <c r="E163" s="100">
        <v>0.12</v>
      </c>
      <c r="F163" s="118">
        <v>0.13</v>
      </c>
      <c r="G163" s="126">
        <v>0.11</v>
      </c>
      <c r="H163" s="171">
        <v>0.05</v>
      </c>
    </row>
    <row r="164" spans="2:8" x14ac:dyDescent="0.25">
      <c r="B164">
        <v>2065</v>
      </c>
      <c r="C164" t="s">
        <v>4</v>
      </c>
      <c r="D164" s="99">
        <v>0.05</v>
      </c>
      <c r="E164" s="100">
        <v>0.12</v>
      </c>
      <c r="F164" s="118">
        <v>0.12</v>
      </c>
      <c r="G164" s="126">
        <v>0.1</v>
      </c>
      <c r="H164" s="171">
        <v>0.04</v>
      </c>
    </row>
    <row r="165" spans="2:8" x14ac:dyDescent="0.25">
      <c r="B165">
        <v>2070</v>
      </c>
      <c r="C165" t="s">
        <v>4</v>
      </c>
      <c r="D165" s="99">
        <v>0.04</v>
      </c>
      <c r="E165" s="100">
        <v>0.11</v>
      </c>
      <c r="F165" s="118">
        <v>0.12</v>
      </c>
      <c r="G165" s="126">
        <v>0.1</v>
      </c>
      <c r="H165" s="171">
        <v>0.04</v>
      </c>
    </row>
    <row r="166" spans="2:8" x14ac:dyDescent="0.25">
      <c r="B166">
        <v>2075</v>
      </c>
      <c r="C166" t="s">
        <v>4</v>
      </c>
      <c r="D166" s="99">
        <v>0.04</v>
      </c>
      <c r="E166" s="100">
        <v>0.1</v>
      </c>
      <c r="F166" s="118">
        <v>0.11</v>
      </c>
      <c r="G166" s="126">
        <v>0.09</v>
      </c>
      <c r="H166" s="171">
        <v>0.04</v>
      </c>
    </row>
    <row r="167" spans="2:8" x14ac:dyDescent="0.25">
      <c r="B167">
        <v>2080</v>
      </c>
      <c r="C167" t="s">
        <v>4</v>
      </c>
      <c r="D167" s="99">
        <v>0.04</v>
      </c>
      <c r="E167" s="100">
        <v>0.1</v>
      </c>
      <c r="F167" s="118">
        <v>0.1</v>
      </c>
      <c r="G167" s="126">
        <v>0.09</v>
      </c>
      <c r="H167" s="171">
        <v>0.04</v>
      </c>
    </row>
    <row r="168" spans="2:8" x14ac:dyDescent="0.25">
      <c r="B168">
        <v>2085</v>
      </c>
      <c r="C168" t="s">
        <v>4</v>
      </c>
      <c r="D168" s="99">
        <v>0.03</v>
      </c>
      <c r="E168" s="100">
        <v>0.09</v>
      </c>
      <c r="F168" s="118">
        <v>0.1</v>
      </c>
      <c r="G168" s="126">
        <v>0.08</v>
      </c>
      <c r="H168" s="171">
        <v>0.04</v>
      </c>
    </row>
    <row r="169" spans="2:8" x14ac:dyDescent="0.25">
      <c r="B169">
        <v>2090</v>
      </c>
      <c r="C169" t="s">
        <v>4</v>
      </c>
      <c r="D169" s="99">
        <v>0.03</v>
      </c>
      <c r="E169" s="100">
        <v>0.09</v>
      </c>
      <c r="F169" s="118">
        <v>0.09</v>
      </c>
      <c r="G169" s="126">
        <v>7.0000000000000007E-2</v>
      </c>
      <c r="H169" s="171">
        <v>0.04</v>
      </c>
    </row>
    <row r="170" spans="2:8" x14ac:dyDescent="0.25">
      <c r="B170">
        <v>2095</v>
      </c>
      <c r="C170" t="s">
        <v>4</v>
      </c>
      <c r="D170" s="99">
        <v>0.02</v>
      </c>
      <c r="E170" s="100">
        <v>0.08</v>
      </c>
      <c r="F170" s="118">
        <v>0.09</v>
      </c>
      <c r="G170" s="126">
        <v>7.0000000000000007E-2</v>
      </c>
      <c r="H170" s="171">
        <v>0.04</v>
      </c>
    </row>
    <row r="171" spans="2:8" x14ac:dyDescent="0.25">
      <c r="B171">
        <v>2100</v>
      </c>
      <c r="C171" t="s">
        <v>4</v>
      </c>
      <c r="D171" s="99">
        <v>0.02</v>
      </c>
      <c r="E171" s="100">
        <v>7.0000000000000007E-2</v>
      </c>
      <c r="F171" s="118">
        <v>0.08</v>
      </c>
      <c r="G171" s="126">
        <v>0.06</v>
      </c>
      <c r="H171" s="171">
        <v>0.03</v>
      </c>
    </row>
    <row r="172" spans="2:8" x14ac:dyDescent="0.25">
      <c r="B172">
        <v>1970</v>
      </c>
      <c r="C172" t="s">
        <v>5</v>
      </c>
      <c r="D172" s="99">
        <v>0.04</v>
      </c>
      <c r="E172" s="100">
        <v>0.02</v>
      </c>
      <c r="F172" s="118">
        <v>0.12</v>
      </c>
      <c r="G172" s="126">
        <v>0.2</v>
      </c>
      <c r="H172" s="171">
        <v>0.17</v>
      </c>
    </row>
    <row r="173" spans="2:8" x14ac:dyDescent="0.25">
      <c r="B173">
        <v>1975</v>
      </c>
      <c r="C173" t="s">
        <v>5</v>
      </c>
      <c r="D173" s="99">
        <v>0.05</v>
      </c>
      <c r="E173" s="100">
        <v>0.03</v>
      </c>
      <c r="F173" s="118">
        <v>0.16</v>
      </c>
      <c r="G173" s="126">
        <v>0.22</v>
      </c>
      <c r="H173" s="171">
        <v>0.2</v>
      </c>
    </row>
    <row r="174" spans="2:8" x14ac:dyDescent="0.25">
      <c r="B174">
        <v>1980</v>
      </c>
      <c r="C174" t="s">
        <v>5</v>
      </c>
      <c r="D174" s="99">
        <v>0.06</v>
      </c>
      <c r="E174" s="100">
        <v>0.04</v>
      </c>
      <c r="F174" s="118">
        <v>0.19</v>
      </c>
      <c r="G174" s="126">
        <v>0.25</v>
      </c>
      <c r="H174" s="171">
        <v>0.23</v>
      </c>
    </row>
    <row r="175" spans="2:8" x14ac:dyDescent="0.25">
      <c r="B175">
        <v>1985</v>
      </c>
      <c r="C175" t="s">
        <v>5</v>
      </c>
      <c r="D175" s="99">
        <v>7.0000000000000007E-2</v>
      </c>
      <c r="E175" s="100">
        <v>0.05</v>
      </c>
      <c r="F175" s="118">
        <v>0.22</v>
      </c>
      <c r="G175" s="126">
        <v>0.28000000000000003</v>
      </c>
      <c r="H175" s="171">
        <v>0.26</v>
      </c>
    </row>
    <row r="176" spans="2:8" x14ac:dyDescent="0.25">
      <c r="B176">
        <v>1990</v>
      </c>
      <c r="C176" t="s">
        <v>5</v>
      </c>
      <c r="D176" s="99">
        <v>0.09</v>
      </c>
      <c r="E176" s="100">
        <v>0.05</v>
      </c>
      <c r="F176" s="118">
        <v>0.24</v>
      </c>
      <c r="G176" s="126">
        <v>0.3</v>
      </c>
      <c r="H176" s="171">
        <v>0.27</v>
      </c>
    </row>
    <row r="177" spans="2:8" x14ac:dyDescent="0.25">
      <c r="B177">
        <v>1995</v>
      </c>
      <c r="C177" t="s">
        <v>5</v>
      </c>
      <c r="D177" s="99">
        <v>0.11</v>
      </c>
      <c r="E177" s="100">
        <v>0.06</v>
      </c>
      <c r="F177" s="118">
        <v>0.26</v>
      </c>
      <c r="G177" s="126">
        <v>0.32</v>
      </c>
      <c r="H177" s="171">
        <v>0.3</v>
      </c>
    </row>
    <row r="178" spans="2:8" x14ac:dyDescent="0.25">
      <c r="B178">
        <v>2000</v>
      </c>
      <c r="C178" t="s">
        <v>5</v>
      </c>
      <c r="D178" s="99">
        <v>0.13</v>
      </c>
      <c r="E178" s="100">
        <v>7.0000000000000007E-2</v>
      </c>
      <c r="F178" s="118">
        <v>0.28000000000000003</v>
      </c>
      <c r="G178" s="126">
        <v>0.34</v>
      </c>
      <c r="H178" s="171">
        <v>0.33</v>
      </c>
    </row>
    <row r="179" spans="2:8" x14ac:dyDescent="0.25">
      <c r="B179">
        <v>2005</v>
      </c>
      <c r="C179" t="s">
        <v>5</v>
      </c>
      <c r="D179" s="99">
        <v>0.15</v>
      </c>
      <c r="E179" s="100">
        <v>0.09</v>
      </c>
      <c r="F179" s="118">
        <v>0.3</v>
      </c>
      <c r="G179" s="126">
        <v>0.34</v>
      </c>
      <c r="H179" s="171">
        <v>0.36</v>
      </c>
    </row>
    <row r="180" spans="2:8" x14ac:dyDescent="0.25">
      <c r="B180">
        <v>2010</v>
      </c>
      <c r="C180" t="s">
        <v>5</v>
      </c>
      <c r="D180" s="99">
        <v>0.17</v>
      </c>
      <c r="E180" s="100">
        <v>0.11</v>
      </c>
      <c r="F180" s="118">
        <v>0.3</v>
      </c>
      <c r="G180" s="126">
        <v>0.36</v>
      </c>
      <c r="H180" s="171">
        <v>0.39</v>
      </c>
    </row>
    <row r="181" spans="2:8" x14ac:dyDescent="0.25">
      <c r="B181">
        <v>2015</v>
      </c>
      <c r="C181" t="s">
        <v>5</v>
      </c>
      <c r="D181" s="99">
        <v>0.2</v>
      </c>
      <c r="E181" s="100">
        <v>0.12</v>
      </c>
      <c r="F181" s="118">
        <v>0.3</v>
      </c>
      <c r="G181" s="126">
        <v>0.38</v>
      </c>
      <c r="H181" s="171">
        <v>0.4</v>
      </c>
    </row>
    <row r="182" spans="2:8" x14ac:dyDescent="0.25">
      <c r="B182">
        <v>2020</v>
      </c>
      <c r="C182" t="s">
        <v>5</v>
      </c>
      <c r="D182" s="99">
        <v>0.22</v>
      </c>
      <c r="E182" s="100">
        <v>0.14000000000000001</v>
      </c>
      <c r="F182" s="118">
        <v>0.3</v>
      </c>
      <c r="G182" s="126">
        <v>0.39</v>
      </c>
      <c r="H182" s="171">
        <v>0.41</v>
      </c>
    </row>
    <row r="183" spans="2:8" x14ac:dyDescent="0.25">
      <c r="B183">
        <v>2025</v>
      </c>
      <c r="C183" t="s">
        <v>5</v>
      </c>
      <c r="D183" s="99">
        <v>0.24</v>
      </c>
      <c r="E183" s="100">
        <v>0.15</v>
      </c>
      <c r="F183" s="118">
        <v>0.3</v>
      </c>
      <c r="G183" s="126">
        <v>0.4</v>
      </c>
      <c r="H183" s="171">
        <v>0.41</v>
      </c>
    </row>
    <row r="184" spans="2:8" x14ac:dyDescent="0.25">
      <c r="B184">
        <v>2030</v>
      </c>
      <c r="C184" t="s">
        <v>5</v>
      </c>
      <c r="D184" s="99">
        <v>0.26</v>
      </c>
      <c r="E184" s="100">
        <v>0.17</v>
      </c>
      <c r="F184" s="118">
        <v>0.3</v>
      </c>
      <c r="G184" s="126">
        <v>0.4</v>
      </c>
      <c r="H184" s="171">
        <v>0.43</v>
      </c>
    </row>
    <row r="185" spans="2:8" x14ac:dyDescent="0.25">
      <c r="B185">
        <v>2035</v>
      </c>
      <c r="C185" t="s">
        <v>5</v>
      </c>
      <c r="D185" s="99">
        <v>0.28000000000000003</v>
      </c>
      <c r="E185" s="100">
        <v>0.19</v>
      </c>
      <c r="F185" s="118">
        <v>0.28999999999999998</v>
      </c>
      <c r="G185" s="126">
        <v>0.4</v>
      </c>
      <c r="H185" s="171">
        <v>0.43</v>
      </c>
    </row>
    <row r="186" spans="2:8" x14ac:dyDescent="0.25">
      <c r="B186">
        <v>2040</v>
      </c>
      <c r="C186" t="s">
        <v>5</v>
      </c>
      <c r="D186" s="99">
        <v>0.3</v>
      </c>
      <c r="E186" s="100">
        <v>0.2</v>
      </c>
      <c r="F186" s="118">
        <v>0.28999999999999998</v>
      </c>
      <c r="G186" s="126">
        <v>0.4</v>
      </c>
      <c r="H186" s="171">
        <v>0.43</v>
      </c>
    </row>
    <row r="187" spans="2:8" x14ac:dyDescent="0.25">
      <c r="B187">
        <v>2045</v>
      </c>
      <c r="C187" t="s">
        <v>5</v>
      </c>
      <c r="D187" s="99">
        <v>0.31</v>
      </c>
      <c r="E187" s="100">
        <v>0.22</v>
      </c>
      <c r="F187" s="118">
        <v>0.28999999999999998</v>
      </c>
      <c r="G187" s="126">
        <v>0.4</v>
      </c>
      <c r="H187" s="171">
        <v>0.43</v>
      </c>
    </row>
    <row r="188" spans="2:8" x14ac:dyDescent="0.25">
      <c r="B188">
        <v>2050</v>
      </c>
      <c r="C188" t="s">
        <v>5</v>
      </c>
      <c r="D188" s="99">
        <v>0.33</v>
      </c>
      <c r="E188" s="100">
        <v>0.24</v>
      </c>
      <c r="F188" s="118">
        <v>0.28999999999999998</v>
      </c>
      <c r="G188" s="126">
        <v>0.4</v>
      </c>
      <c r="H188" s="171">
        <v>0.42</v>
      </c>
    </row>
    <row r="189" spans="2:8" x14ac:dyDescent="0.25">
      <c r="B189">
        <v>2055</v>
      </c>
      <c r="C189" t="s">
        <v>5</v>
      </c>
      <c r="D189" s="99">
        <v>0.34</v>
      </c>
      <c r="E189" s="100">
        <v>0.25</v>
      </c>
      <c r="F189" s="118">
        <v>0.28999999999999998</v>
      </c>
      <c r="G189" s="126">
        <v>0.4</v>
      </c>
      <c r="H189" s="171">
        <v>0.41</v>
      </c>
    </row>
    <row r="190" spans="2:8" x14ac:dyDescent="0.25">
      <c r="B190">
        <v>2060</v>
      </c>
      <c r="C190" t="s">
        <v>5</v>
      </c>
      <c r="D190" s="99">
        <v>0.35</v>
      </c>
      <c r="E190" s="100">
        <v>0.26</v>
      </c>
      <c r="F190" s="118">
        <v>0.28999999999999998</v>
      </c>
      <c r="G190" s="126">
        <v>0.4</v>
      </c>
      <c r="H190" s="171">
        <v>0.4</v>
      </c>
    </row>
    <row r="191" spans="2:8" x14ac:dyDescent="0.25">
      <c r="B191">
        <v>2065</v>
      </c>
      <c r="C191" t="s">
        <v>5</v>
      </c>
      <c r="D191" s="99">
        <v>0.35</v>
      </c>
      <c r="E191" s="100">
        <v>0.28000000000000003</v>
      </c>
      <c r="F191" s="118">
        <v>0.28999999999999998</v>
      </c>
      <c r="G191" s="126">
        <v>0.39</v>
      </c>
      <c r="H191" s="171">
        <v>0.4</v>
      </c>
    </row>
    <row r="192" spans="2:8" x14ac:dyDescent="0.25">
      <c r="B192">
        <v>2070</v>
      </c>
      <c r="C192" t="s">
        <v>5</v>
      </c>
      <c r="D192" s="99">
        <v>0.36</v>
      </c>
      <c r="E192" s="100">
        <v>0.28999999999999998</v>
      </c>
      <c r="F192" s="118">
        <v>0.28999999999999998</v>
      </c>
      <c r="G192" s="126">
        <v>0.39</v>
      </c>
      <c r="H192" s="171">
        <v>0.39</v>
      </c>
    </row>
    <row r="193" spans="2:8" x14ac:dyDescent="0.25">
      <c r="B193">
        <v>2075</v>
      </c>
      <c r="C193" t="s">
        <v>5</v>
      </c>
      <c r="D193" s="99">
        <v>0.36</v>
      </c>
      <c r="E193" s="100">
        <v>0.3</v>
      </c>
      <c r="F193" s="118">
        <v>0.28999999999999998</v>
      </c>
      <c r="G193" s="126">
        <v>0.38</v>
      </c>
      <c r="H193" s="171">
        <v>0.38</v>
      </c>
    </row>
    <row r="194" spans="2:8" x14ac:dyDescent="0.25">
      <c r="B194">
        <v>2080</v>
      </c>
      <c r="C194" t="s">
        <v>5</v>
      </c>
      <c r="D194" s="99">
        <v>0.36</v>
      </c>
      <c r="E194" s="100">
        <v>0.31</v>
      </c>
      <c r="F194" s="118">
        <v>0.28999999999999998</v>
      </c>
      <c r="G194" s="126">
        <v>0.38</v>
      </c>
      <c r="H194" s="171">
        <v>0.37</v>
      </c>
    </row>
    <row r="195" spans="2:8" x14ac:dyDescent="0.25">
      <c r="B195">
        <v>2085</v>
      </c>
      <c r="C195" t="s">
        <v>5</v>
      </c>
      <c r="D195" s="99">
        <v>0.36</v>
      </c>
      <c r="E195" s="100">
        <v>0.32</v>
      </c>
      <c r="F195" s="118">
        <v>0.28999999999999998</v>
      </c>
      <c r="G195" s="126">
        <v>0.37</v>
      </c>
      <c r="H195" s="171">
        <v>0.36</v>
      </c>
    </row>
    <row r="196" spans="2:8" x14ac:dyDescent="0.25">
      <c r="B196">
        <v>2090</v>
      </c>
      <c r="C196" t="s">
        <v>5</v>
      </c>
      <c r="D196" s="99">
        <v>0.35</v>
      </c>
      <c r="E196" s="100">
        <v>0.33</v>
      </c>
      <c r="F196" s="118">
        <v>0.28999999999999998</v>
      </c>
      <c r="G196" s="126">
        <v>0.36</v>
      </c>
      <c r="H196" s="171">
        <v>0.35</v>
      </c>
    </row>
    <row r="197" spans="2:8" x14ac:dyDescent="0.25">
      <c r="B197">
        <v>2095</v>
      </c>
      <c r="C197" t="s">
        <v>5</v>
      </c>
      <c r="D197" s="99">
        <v>0.35</v>
      </c>
      <c r="E197" s="100">
        <v>0.33</v>
      </c>
      <c r="F197" s="118">
        <v>0.28999999999999998</v>
      </c>
      <c r="G197" s="126">
        <v>0.35</v>
      </c>
      <c r="H197" s="171">
        <v>0.34</v>
      </c>
    </row>
    <row r="198" spans="2:8" x14ac:dyDescent="0.25">
      <c r="B198">
        <v>2100</v>
      </c>
      <c r="C198" t="s">
        <v>5</v>
      </c>
      <c r="D198" s="99">
        <v>0.34</v>
      </c>
      <c r="E198" s="100">
        <v>0.34</v>
      </c>
      <c r="F198" s="118">
        <v>0.28999999999999998</v>
      </c>
      <c r="G198" s="126">
        <v>0.34</v>
      </c>
      <c r="H198" s="171">
        <v>0.33</v>
      </c>
    </row>
    <row r="199" spans="2:8" x14ac:dyDescent="0.25">
      <c r="B199">
        <v>1970</v>
      </c>
      <c r="C199" t="s">
        <v>6</v>
      </c>
      <c r="D199" s="99">
        <v>0.02</v>
      </c>
      <c r="E199" s="100">
        <v>0.02</v>
      </c>
      <c r="F199" s="118">
        <v>0.06</v>
      </c>
      <c r="G199" s="126">
        <v>0.06</v>
      </c>
      <c r="H199" s="171">
        <v>0.1</v>
      </c>
    </row>
    <row r="200" spans="2:8" x14ac:dyDescent="0.25">
      <c r="B200">
        <v>1975</v>
      </c>
      <c r="C200" t="s">
        <v>6</v>
      </c>
      <c r="D200" s="99">
        <v>0.03</v>
      </c>
      <c r="E200" s="100">
        <v>0.02</v>
      </c>
      <c r="F200" s="118">
        <v>0.08</v>
      </c>
      <c r="G200" s="126">
        <v>0.08</v>
      </c>
      <c r="H200" s="171">
        <v>0.12</v>
      </c>
    </row>
    <row r="201" spans="2:8" x14ac:dyDescent="0.25">
      <c r="B201">
        <v>1980</v>
      </c>
      <c r="C201" t="s">
        <v>6</v>
      </c>
      <c r="D201" s="99">
        <v>0.04</v>
      </c>
      <c r="E201" s="100">
        <v>0.03</v>
      </c>
      <c r="F201" s="118">
        <v>0.11</v>
      </c>
      <c r="G201" s="126">
        <v>0.09</v>
      </c>
      <c r="H201" s="171">
        <v>0.14000000000000001</v>
      </c>
    </row>
    <row r="202" spans="2:8" x14ac:dyDescent="0.25">
      <c r="B202">
        <v>1985</v>
      </c>
      <c r="C202" t="s">
        <v>6</v>
      </c>
      <c r="D202" s="99">
        <v>0.05</v>
      </c>
      <c r="E202" s="100">
        <v>0.03</v>
      </c>
      <c r="F202" s="118">
        <v>0.13</v>
      </c>
      <c r="G202" s="126">
        <v>0.11</v>
      </c>
      <c r="H202" s="171">
        <v>0.16</v>
      </c>
    </row>
    <row r="203" spans="2:8" x14ac:dyDescent="0.25">
      <c r="B203">
        <v>1990</v>
      </c>
      <c r="C203" t="s">
        <v>6</v>
      </c>
      <c r="D203" s="99">
        <v>0.06</v>
      </c>
      <c r="E203" s="100">
        <v>0.04</v>
      </c>
      <c r="F203" s="118">
        <v>0.15</v>
      </c>
      <c r="G203" s="126">
        <v>0.13</v>
      </c>
      <c r="H203" s="171">
        <v>0.18</v>
      </c>
    </row>
    <row r="204" spans="2:8" x14ac:dyDescent="0.25">
      <c r="B204">
        <v>1995</v>
      </c>
      <c r="C204" t="s">
        <v>6</v>
      </c>
      <c r="D204" s="99">
        <v>0.08</v>
      </c>
      <c r="E204" s="100">
        <v>0.04</v>
      </c>
      <c r="F204" s="118">
        <v>0.18</v>
      </c>
      <c r="G204" s="126">
        <v>0.14000000000000001</v>
      </c>
      <c r="H204" s="171">
        <v>0.2</v>
      </c>
    </row>
    <row r="205" spans="2:8" x14ac:dyDescent="0.25">
      <c r="B205">
        <v>2000</v>
      </c>
      <c r="C205" t="s">
        <v>6</v>
      </c>
      <c r="D205" s="99">
        <v>0.09</v>
      </c>
      <c r="E205" s="100">
        <v>0.05</v>
      </c>
      <c r="F205" s="118">
        <v>0.2</v>
      </c>
      <c r="G205" s="126">
        <v>0.16</v>
      </c>
      <c r="H205" s="171">
        <v>0.22</v>
      </c>
    </row>
    <row r="206" spans="2:8" x14ac:dyDescent="0.25">
      <c r="B206">
        <v>2005</v>
      </c>
      <c r="C206" t="s">
        <v>6</v>
      </c>
      <c r="D206" s="99">
        <v>0.1</v>
      </c>
      <c r="E206" s="100">
        <v>0.06</v>
      </c>
      <c r="F206" s="118">
        <v>0.22</v>
      </c>
      <c r="G206" s="126">
        <v>0.17</v>
      </c>
      <c r="H206" s="171">
        <v>0.24</v>
      </c>
    </row>
    <row r="207" spans="2:8" x14ac:dyDescent="0.25">
      <c r="B207">
        <v>2010</v>
      </c>
      <c r="C207" t="s">
        <v>6</v>
      </c>
      <c r="D207" s="99">
        <v>0.12</v>
      </c>
      <c r="E207" s="100">
        <v>7.0000000000000007E-2</v>
      </c>
      <c r="F207" s="118">
        <v>0.33</v>
      </c>
      <c r="G207" s="126">
        <v>0.18</v>
      </c>
      <c r="H207" s="171">
        <v>0.26</v>
      </c>
    </row>
    <row r="208" spans="2:8" x14ac:dyDescent="0.25">
      <c r="B208">
        <v>2015</v>
      </c>
      <c r="C208" t="s">
        <v>6</v>
      </c>
      <c r="D208" s="99">
        <v>0.13</v>
      </c>
      <c r="E208" s="100">
        <v>0.09</v>
      </c>
      <c r="F208" s="118">
        <v>0.34</v>
      </c>
      <c r="G208" s="126">
        <v>0.19</v>
      </c>
      <c r="H208" s="171">
        <v>0.28000000000000003</v>
      </c>
    </row>
    <row r="209" spans="2:8" x14ac:dyDescent="0.25">
      <c r="B209">
        <v>2020</v>
      </c>
      <c r="C209" t="s">
        <v>6</v>
      </c>
      <c r="D209" s="99">
        <v>0.15</v>
      </c>
      <c r="E209" s="100">
        <v>0.1</v>
      </c>
      <c r="F209" s="118">
        <v>0.35</v>
      </c>
      <c r="G209" s="126">
        <v>0.21</v>
      </c>
      <c r="H209" s="171">
        <v>0.3</v>
      </c>
    </row>
    <row r="210" spans="2:8" x14ac:dyDescent="0.25">
      <c r="B210">
        <v>2025</v>
      </c>
      <c r="C210" t="s">
        <v>6</v>
      </c>
      <c r="D210" s="99">
        <v>0.17</v>
      </c>
      <c r="E210" s="100">
        <v>0.11</v>
      </c>
      <c r="F210" s="118">
        <v>0.35</v>
      </c>
      <c r="G210" s="126">
        <v>0.22</v>
      </c>
      <c r="H210" s="171">
        <v>0.31</v>
      </c>
    </row>
    <row r="211" spans="2:8" x14ac:dyDescent="0.25">
      <c r="B211">
        <v>2030</v>
      </c>
      <c r="C211" t="s">
        <v>6</v>
      </c>
      <c r="D211" s="99">
        <v>0.19</v>
      </c>
      <c r="E211" s="100">
        <v>0.13</v>
      </c>
      <c r="F211" s="118">
        <v>0.36</v>
      </c>
      <c r="G211" s="126">
        <v>0.23</v>
      </c>
      <c r="H211" s="171">
        <v>0.32</v>
      </c>
    </row>
    <row r="212" spans="2:8" x14ac:dyDescent="0.25">
      <c r="B212">
        <v>2035</v>
      </c>
      <c r="C212" t="s">
        <v>6</v>
      </c>
      <c r="D212" s="99">
        <v>0.21</v>
      </c>
      <c r="E212" s="100">
        <v>0.14000000000000001</v>
      </c>
      <c r="F212" s="118">
        <v>0.37</v>
      </c>
      <c r="G212" s="126">
        <v>0.25</v>
      </c>
      <c r="H212" s="171">
        <v>0.34</v>
      </c>
    </row>
    <row r="213" spans="2:8" x14ac:dyDescent="0.25">
      <c r="B213">
        <v>2040</v>
      </c>
      <c r="C213" t="s">
        <v>6</v>
      </c>
      <c r="D213" s="99">
        <v>0.23</v>
      </c>
      <c r="E213" s="100">
        <v>0.16</v>
      </c>
      <c r="F213" s="118">
        <v>0.38</v>
      </c>
      <c r="G213" s="126">
        <v>0.26</v>
      </c>
      <c r="H213" s="171">
        <v>0.35</v>
      </c>
    </row>
    <row r="214" spans="2:8" x14ac:dyDescent="0.25">
      <c r="B214">
        <v>2045</v>
      </c>
      <c r="C214" t="s">
        <v>6</v>
      </c>
      <c r="D214" s="99">
        <v>0.25</v>
      </c>
      <c r="E214" s="100">
        <v>0.17</v>
      </c>
      <c r="F214" s="118">
        <v>0.38</v>
      </c>
      <c r="G214" s="126">
        <v>0.27</v>
      </c>
      <c r="H214" s="171">
        <v>0.36</v>
      </c>
    </row>
    <row r="215" spans="2:8" x14ac:dyDescent="0.25">
      <c r="B215">
        <v>2050</v>
      </c>
      <c r="C215" t="s">
        <v>6</v>
      </c>
      <c r="D215" s="99">
        <v>0.27</v>
      </c>
      <c r="E215" s="100">
        <v>0.19</v>
      </c>
      <c r="F215" s="118">
        <v>0.39</v>
      </c>
      <c r="G215" s="126">
        <v>0.28999999999999998</v>
      </c>
      <c r="H215" s="171">
        <v>0.37</v>
      </c>
    </row>
    <row r="216" spans="2:8" x14ac:dyDescent="0.25">
      <c r="B216">
        <v>2055</v>
      </c>
      <c r="C216" t="s">
        <v>6</v>
      </c>
      <c r="D216" s="99">
        <v>0.28999999999999998</v>
      </c>
      <c r="E216" s="100">
        <v>0.21</v>
      </c>
      <c r="F216" s="118">
        <v>0.4</v>
      </c>
      <c r="G216" s="126">
        <v>0.3</v>
      </c>
      <c r="H216" s="171">
        <v>0.39</v>
      </c>
    </row>
    <row r="217" spans="2:8" x14ac:dyDescent="0.25">
      <c r="B217">
        <v>2060</v>
      </c>
      <c r="C217" t="s">
        <v>6</v>
      </c>
      <c r="D217" s="99">
        <v>0.31</v>
      </c>
      <c r="E217" s="100">
        <v>0.23</v>
      </c>
      <c r="F217" s="118">
        <v>0.41</v>
      </c>
      <c r="G217" s="126">
        <v>0.32</v>
      </c>
      <c r="H217" s="171">
        <v>0.4</v>
      </c>
    </row>
    <row r="218" spans="2:8" x14ac:dyDescent="0.25">
      <c r="B218">
        <v>2065</v>
      </c>
      <c r="C218" t="s">
        <v>6</v>
      </c>
      <c r="D218" s="99">
        <v>0.34</v>
      </c>
      <c r="E218" s="100">
        <v>0.24</v>
      </c>
      <c r="F218" s="118">
        <v>0.42</v>
      </c>
      <c r="G218" s="126">
        <v>0.33</v>
      </c>
      <c r="H218" s="171">
        <v>0.41</v>
      </c>
    </row>
    <row r="219" spans="2:8" x14ac:dyDescent="0.25">
      <c r="B219">
        <v>2070</v>
      </c>
      <c r="C219" t="s">
        <v>6</v>
      </c>
      <c r="D219" s="99">
        <v>0.36</v>
      </c>
      <c r="E219" s="100">
        <v>0.26</v>
      </c>
      <c r="F219" s="118">
        <v>0.43</v>
      </c>
      <c r="G219" s="126">
        <v>0.35</v>
      </c>
      <c r="H219" s="171">
        <v>0.43</v>
      </c>
    </row>
    <row r="220" spans="2:8" x14ac:dyDescent="0.25">
      <c r="B220">
        <v>2075</v>
      </c>
      <c r="C220" t="s">
        <v>6</v>
      </c>
      <c r="D220" s="99">
        <v>0.38</v>
      </c>
      <c r="E220" s="100">
        <v>0.28000000000000003</v>
      </c>
      <c r="F220" s="118">
        <v>0.44</v>
      </c>
      <c r="G220" s="126">
        <v>0.36</v>
      </c>
      <c r="H220" s="171">
        <v>0.44</v>
      </c>
    </row>
    <row r="221" spans="2:8" x14ac:dyDescent="0.25">
      <c r="B221">
        <v>2080</v>
      </c>
      <c r="C221" t="s">
        <v>6</v>
      </c>
      <c r="D221" s="99">
        <v>0.4</v>
      </c>
      <c r="E221" s="100">
        <v>0.3</v>
      </c>
      <c r="F221" s="118">
        <v>0.45</v>
      </c>
      <c r="G221" s="126">
        <v>0.38</v>
      </c>
      <c r="H221" s="171">
        <v>0.45</v>
      </c>
    </row>
    <row r="222" spans="2:8" x14ac:dyDescent="0.25">
      <c r="B222">
        <v>2085</v>
      </c>
      <c r="C222" t="s">
        <v>6</v>
      </c>
      <c r="D222" s="99">
        <v>0.42</v>
      </c>
      <c r="E222" s="100">
        <v>0.32</v>
      </c>
      <c r="F222" s="118">
        <v>0.46</v>
      </c>
      <c r="G222" s="126">
        <v>0.4</v>
      </c>
      <c r="H222" s="171">
        <v>0.46</v>
      </c>
    </row>
    <row r="223" spans="2:8" x14ac:dyDescent="0.25">
      <c r="B223">
        <v>2090</v>
      </c>
      <c r="C223" t="s">
        <v>6</v>
      </c>
      <c r="D223" s="99">
        <v>0.44</v>
      </c>
      <c r="E223" s="100">
        <v>0.34</v>
      </c>
      <c r="F223" s="118">
        <v>0.47</v>
      </c>
      <c r="G223" s="126">
        <v>0.41</v>
      </c>
      <c r="H223" s="171">
        <v>0.47</v>
      </c>
    </row>
    <row r="224" spans="2:8" x14ac:dyDescent="0.25">
      <c r="B224">
        <v>2095</v>
      </c>
      <c r="C224" t="s">
        <v>6</v>
      </c>
      <c r="D224" s="99">
        <v>0.46</v>
      </c>
      <c r="E224" s="100">
        <v>0.36</v>
      </c>
      <c r="F224" s="118">
        <v>0.48</v>
      </c>
      <c r="G224" s="126">
        <v>0.43</v>
      </c>
      <c r="H224" s="171">
        <v>0.48</v>
      </c>
    </row>
    <row r="225" spans="2:8" x14ac:dyDescent="0.25">
      <c r="B225">
        <v>2100</v>
      </c>
      <c r="C225" t="s">
        <v>6</v>
      </c>
      <c r="D225" s="99">
        <v>0.48</v>
      </c>
      <c r="E225" s="100">
        <v>0.37</v>
      </c>
      <c r="F225" s="118">
        <v>0.48</v>
      </c>
      <c r="G225" s="126">
        <v>0.44</v>
      </c>
      <c r="H225" s="171">
        <v>0.5</v>
      </c>
    </row>
  </sheetData>
  <hyperlinks>
    <hyperlink ref="C2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8"/>
  <sheetViews>
    <sheetView workbookViewId="0">
      <selection activeCell="I11" sqref="I11"/>
    </sheetView>
  </sheetViews>
  <sheetFormatPr defaultRowHeight="15" x14ac:dyDescent="0.25"/>
  <cols>
    <col min="2" max="2" width="11.7109375" customWidth="1"/>
  </cols>
  <sheetData>
    <row r="1" spans="1:15" x14ac:dyDescent="0.25">
      <c r="A1" s="30" t="s">
        <v>111</v>
      </c>
      <c r="B1" s="102" t="s">
        <v>13</v>
      </c>
      <c r="C1" s="98" t="s">
        <v>148</v>
      </c>
      <c r="D1" s="118" t="s">
        <v>151</v>
      </c>
      <c r="E1" s="126" t="s">
        <v>154</v>
      </c>
      <c r="F1" s="171" t="s">
        <v>174</v>
      </c>
      <c r="H1" s="101" t="s">
        <v>149</v>
      </c>
    </row>
    <row r="2" spans="1:15" x14ac:dyDescent="0.25">
      <c r="A2" s="103">
        <v>1960</v>
      </c>
      <c r="B2" s="103">
        <v>16006395</v>
      </c>
      <c r="C2" s="104">
        <v>1878404</v>
      </c>
      <c r="D2" s="119">
        <v>4412828</v>
      </c>
      <c r="E2" s="119">
        <v>4565419</v>
      </c>
      <c r="F2" s="119">
        <v>1210474</v>
      </c>
      <c r="O2" s="170"/>
    </row>
    <row r="3" spans="1:15" x14ac:dyDescent="0.25">
      <c r="A3" s="103">
        <v>1961</v>
      </c>
      <c r="B3" s="103">
        <v>16488996</v>
      </c>
      <c r="C3" s="104">
        <v>1928101</v>
      </c>
      <c r="D3" s="119">
        <v>4446830</v>
      </c>
      <c r="E3" s="119">
        <v>4597239</v>
      </c>
      <c r="F3" s="119">
        <v>1223676</v>
      </c>
      <c r="O3" s="170"/>
    </row>
    <row r="4" spans="1:15" x14ac:dyDescent="0.25">
      <c r="A4" s="103">
        <v>1962</v>
      </c>
      <c r="B4" s="103">
        <v>16986307</v>
      </c>
      <c r="C4" s="104">
        <v>1979334</v>
      </c>
      <c r="D4" s="119">
        <v>4479028</v>
      </c>
      <c r="E4" s="119">
        <v>4631474</v>
      </c>
      <c r="F4" s="119">
        <v>1237810</v>
      </c>
      <c r="O4" s="170"/>
    </row>
    <row r="5" spans="1:15" x14ac:dyDescent="0.25">
      <c r="A5" s="103">
        <v>1963</v>
      </c>
      <c r="B5" s="103">
        <v>17497712</v>
      </c>
      <c r="C5" s="104">
        <v>2032127</v>
      </c>
      <c r="D5" s="119">
        <v>4508675</v>
      </c>
      <c r="E5" s="119">
        <v>4667667</v>
      </c>
      <c r="F5" s="119">
        <v>1252669</v>
      </c>
      <c r="O5" s="170"/>
    </row>
    <row r="6" spans="1:15" x14ac:dyDescent="0.25">
      <c r="A6" s="103">
        <v>1964</v>
      </c>
      <c r="B6" s="103">
        <v>18022435</v>
      </c>
      <c r="C6" s="104">
        <v>2086506</v>
      </c>
      <c r="D6" s="119">
        <v>4534535</v>
      </c>
      <c r="E6" s="119">
        <v>4704826</v>
      </c>
      <c r="F6" s="119">
        <v>1267855</v>
      </c>
      <c r="O6" s="170"/>
    </row>
    <row r="7" spans="1:15" x14ac:dyDescent="0.25">
      <c r="A7" s="103">
        <v>1965</v>
      </c>
      <c r="B7" s="103">
        <v>18559236</v>
      </c>
      <c r="C7" s="104">
        <v>2142474</v>
      </c>
      <c r="D7" s="119">
        <v>4555517</v>
      </c>
      <c r="E7" s="119">
        <v>4741879</v>
      </c>
      <c r="F7" s="119">
        <v>1282954</v>
      </c>
      <c r="O7" s="170"/>
    </row>
    <row r="8" spans="1:15" x14ac:dyDescent="0.25">
      <c r="A8" s="103">
        <v>1966</v>
      </c>
      <c r="B8" s="103">
        <v>19108959</v>
      </c>
      <c r="C8" s="104">
        <v>2200113</v>
      </c>
      <c r="D8" s="119">
        <v>4570862</v>
      </c>
      <c r="E8" s="119">
        <v>4778210</v>
      </c>
      <c r="F8" s="119">
        <v>1297731</v>
      </c>
      <c r="O8" s="170"/>
    </row>
    <row r="9" spans="1:15" x14ac:dyDescent="0.25">
      <c r="A9" s="103">
        <v>1967</v>
      </c>
      <c r="B9" s="103">
        <v>19669838</v>
      </c>
      <c r="C9" s="104">
        <v>2259476</v>
      </c>
      <c r="D9" s="119">
        <v>4580649</v>
      </c>
      <c r="E9" s="119">
        <v>4813700</v>
      </c>
      <c r="F9" s="119">
        <v>1312155</v>
      </c>
      <c r="O9" s="170"/>
    </row>
    <row r="10" spans="1:15" x14ac:dyDescent="0.25">
      <c r="A10" s="103">
        <v>1968</v>
      </c>
      <c r="B10" s="103">
        <v>20234946</v>
      </c>
      <c r="C10" s="104">
        <v>2320240</v>
      </c>
      <c r="D10" s="119">
        <v>4586745</v>
      </c>
      <c r="E10" s="119">
        <v>4848293</v>
      </c>
      <c r="F10" s="119">
        <v>1326249</v>
      </c>
      <c r="O10" s="170"/>
    </row>
    <row r="11" spans="1:15" x14ac:dyDescent="0.25">
      <c r="A11" s="103">
        <v>1969</v>
      </c>
      <c r="B11" s="103">
        <v>20795270</v>
      </c>
      <c r="C11" s="104">
        <v>2381733</v>
      </c>
      <c r="D11" s="119">
        <v>4592517</v>
      </c>
      <c r="E11" s="119">
        <v>4881847</v>
      </c>
      <c r="F11" s="119">
        <v>1340034</v>
      </c>
      <c r="O11" s="170"/>
    </row>
    <row r="12" spans="1:15" x14ac:dyDescent="0.25">
      <c r="A12" s="103">
        <v>1970</v>
      </c>
      <c r="B12" s="103">
        <v>21344781</v>
      </c>
      <c r="C12" s="104">
        <v>2443334</v>
      </c>
      <c r="D12" s="119">
        <v>4601274</v>
      </c>
      <c r="E12" s="119">
        <v>4914234</v>
      </c>
      <c r="F12" s="119">
        <v>1353545</v>
      </c>
      <c r="O12" s="170"/>
    </row>
    <row r="13" spans="1:15" x14ac:dyDescent="0.25">
      <c r="A13" s="103">
        <v>1971</v>
      </c>
      <c r="B13" s="103">
        <v>21880185</v>
      </c>
      <c r="C13" s="104">
        <v>2504729</v>
      </c>
      <c r="D13" s="119">
        <v>4615065</v>
      </c>
      <c r="E13" s="119">
        <v>4945297</v>
      </c>
      <c r="F13" s="119">
        <v>1366786</v>
      </c>
      <c r="O13" s="170"/>
    </row>
    <row r="14" spans="1:15" x14ac:dyDescent="0.25">
      <c r="A14" s="103">
        <v>1972</v>
      </c>
      <c r="B14" s="103">
        <v>22404289</v>
      </c>
      <c r="C14" s="104">
        <v>2566048</v>
      </c>
      <c r="D14" s="119">
        <v>4634118</v>
      </c>
      <c r="E14" s="119">
        <v>4974811</v>
      </c>
      <c r="F14" s="119">
        <v>1379718</v>
      </c>
      <c r="O14" s="170"/>
    </row>
    <row r="15" spans="1:15" x14ac:dyDescent="0.25">
      <c r="A15" s="103">
        <v>1973</v>
      </c>
      <c r="B15" s="103">
        <v>22924755</v>
      </c>
      <c r="C15" s="104">
        <v>2627913</v>
      </c>
      <c r="D15" s="119">
        <v>4656830</v>
      </c>
      <c r="E15" s="119">
        <v>5002456</v>
      </c>
      <c r="F15" s="119">
        <v>1392298</v>
      </c>
      <c r="O15" s="170"/>
    </row>
    <row r="16" spans="1:15" x14ac:dyDescent="0.25">
      <c r="A16" s="103">
        <v>1974</v>
      </c>
      <c r="B16" s="103">
        <v>23452703</v>
      </c>
      <c r="C16" s="104">
        <v>2691304</v>
      </c>
      <c r="D16" s="119">
        <v>4680316</v>
      </c>
      <c r="E16" s="119">
        <v>5027843</v>
      </c>
      <c r="F16" s="119">
        <v>1404495</v>
      </c>
      <c r="O16" s="170"/>
    </row>
    <row r="17" spans="1:15" x14ac:dyDescent="0.25">
      <c r="A17" s="103">
        <v>1975</v>
      </c>
      <c r="B17" s="103">
        <v>23996249</v>
      </c>
      <c r="C17" s="104">
        <v>2757244</v>
      </c>
      <c r="D17" s="119">
        <v>4701639</v>
      </c>
      <c r="E17" s="119">
        <v>5050605</v>
      </c>
      <c r="F17" s="119">
        <v>1416281</v>
      </c>
      <c r="O17" s="170"/>
    </row>
    <row r="18" spans="1:15" x14ac:dyDescent="0.25">
      <c r="A18" s="103">
        <v>1976</v>
      </c>
      <c r="B18" s="103">
        <v>24557647</v>
      </c>
      <c r="C18" s="104">
        <v>2826273</v>
      </c>
      <c r="D18" s="119">
        <v>4719131</v>
      </c>
      <c r="E18" s="119">
        <v>5070626</v>
      </c>
      <c r="F18" s="119">
        <v>1427639</v>
      </c>
      <c r="O18" s="170"/>
    </row>
    <row r="19" spans="1:15" x14ac:dyDescent="0.25">
      <c r="A19" s="103">
        <v>1977</v>
      </c>
      <c r="B19" s="103">
        <v>25134640</v>
      </c>
      <c r="C19" s="104">
        <v>2898479</v>
      </c>
      <c r="D19" s="119">
        <v>4732876</v>
      </c>
      <c r="E19" s="119">
        <v>5087959</v>
      </c>
      <c r="F19" s="119">
        <v>1438567</v>
      </c>
      <c r="O19" s="170"/>
    </row>
    <row r="20" spans="1:15" x14ac:dyDescent="0.25">
      <c r="A20" s="103">
        <v>1978</v>
      </c>
      <c r="B20" s="103">
        <v>25725336</v>
      </c>
      <c r="C20" s="104">
        <v>2974104</v>
      </c>
      <c r="D20" s="119">
        <v>4744445</v>
      </c>
      <c r="E20" s="119">
        <v>5102396</v>
      </c>
      <c r="F20" s="119">
        <v>1449118</v>
      </c>
      <c r="O20" s="170"/>
    </row>
    <row r="21" spans="1:15" x14ac:dyDescent="0.25">
      <c r="A21" s="103">
        <v>1979</v>
      </c>
      <c r="B21" s="103">
        <v>26326236</v>
      </c>
      <c r="C21" s="104">
        <v>3053656</v>
      </c>
      <c r="D21" s="119">
        <v>4756349</v>
      </c>
      <c r="E21" s="119">
        <v>5113451</v>
      </c>
      <c r="F21" s="119">
        <v>1459389</v>
      </c>
      <c r="O21" s="170"/>
    </row>
    <row r="22" spans="1:15" x14ac:dyDescent="0.25">
      <c r="A22" s="103">
        <v>1980</v>
      </c>
      <c r="B22" s="103">
        <v>26934591</v>
      </c>
      <c r="C22" s="104">
        <v>3137554</v>
      </c>
      <c r="D22" s="119">
        <v>4771106</v>
      </c>
      <c r="E22" s="119">
        <v>5120750</v>
      </c>
      <c r="F22" s="119">
        <v>1469478</v>
      </c>
      <c r="O22" s="170"/>
    </row>
    <row r="23" spans="1:15" x14ac:dyDescent="0.25">
      <c r="A23" s="103">
        <v>1981</v>
      </c>
      <c r="B23" s="103">
        <v>27550172</v>
      </c>
      <c r="C23" s="104">
        <v>3226041</v>
      </c>
      <c r="D23" s="119">
        <v>4790177</v>
      </c>
      <c r="E23" s="119">
        <v>5124121</v>
      </c>
      <c r="F23" s="119">
        <v>1479213</v>
      </c>
      <c r="O23" s="170"/>
    </row>
    <row r="24" spans="1:15" x14ac:dyDescent="0.25">
      <c r="A24" s="103">
        <v>1982</v>
      </c>
      <c r="B24" s="103">
        <v>28173493</v>
      </c>
      <c r="C24" s="104">
        <v>3319090</v>
      </c>
      <c r="D24" s="119">
        <v>4813517</v>
      </c>
      <c r="E24" s="119">
        <v>5123809</v>
      </c>
      <c r="F24" s="119">
        <v>1488321</v>
      </c>
      <c r="O24" s="170"/>
    </row>
    <row r="25" spans="1:15" x14ac:dyDescent="0.25">
      <c r="A25" s="103">
        <v>1983</v>
      </c>
      <c r="B25" s="103">
        <v>28803276</v>
      </c>
      <c r="C25" s="104">
        <v>3416261</v>
      </c>
      <c r="D25" s="119">
        <v>4839666</v>
      </c>
      <c r="E25" s="119">
        <v>5120888</v>
      </c>
      <c r="F25" s="119">
        <v>1497097</v>
      </c>
      <c r="O25" s="170"/>
    </row>
    <row r="26" spans="1:15" x14ac:dyDescent="0.25">
      <c r="A26" s="103">
        <v>1984</v>
      </c>
      <c r="B26" s="103">
        <v>29438030</v>
      </c>
      <c r="C26" s="104">
        <v>3516773</v>
      </c>
      <c r="D26" s="119">
        <v>4866209</v>
      </c>
      <c r="E26" s="119">
        <v>5117137</v>
      </c>
      <c r="F26" s="119">
        <v>1506381</v>
      </c>
      <c r="O26" s="170"/>
    </row>
    <row r="27" spans="1:15" x14ac:dyDescent="0.25">
      <c r="A27" s="103">
        <v>1985</v>
      </c>
      <c r="B27" s="103">
        <v>30076525</v>
      </c>
      <c r="C27" s="104">
        <v>3619788</v>
      </c>
      <c r="D27" s="119">
        <v>4890721</v>
      </c>
      <c r="E27" s="119">
        <v>5114358</v>
      </c>
      <c r="F27" s="119">
        <v>1516875</v>
      </c>
      <c r="O27" s="170"/>
    </row>
    <row r="28" spans="1:15" x14ac:dyDescent="0.25">
      <c r="A28" s="103">
        <v>1986</v>
      </c>
      <c r="B28" s="103">
        <v>30718127</v>
      </c>
      <c r="C28" s="104">
        <v>3724795</v>
      </c>
      <c r="D28" s="119">
        <v>4911756</v>
      </c>
      <c r="E28" s="119">
        <v>5113588</v>
      </c>
      <c r="F28" s="119">
        <v>1529295</v>
      </c>
      <c r="O28" s="170"/>
    </row>
    <row r="29" spans="1:15" x14ac:dyDescent="0.25">
      <c r="A29" s="103">
        <v>1987</v>
      </c>
      <c r="B29" s="103">
        <v>31362479</v>
      </c>
      <c r="C29" s="104">
        <v>3831599</v>
      </c>
      <c r="D29" s="119">
        <v>4929276</v>
      </c>
      <c r="E29" s="119">
        <v>5115059</v>
      </c>
      <c r="F29" s="119">
        <v>1543700</v>
      </c>
      <c r="O29" s="170"/>
    </row>
    <row r="30" spans="1:15" x14ac:dyDescent="0.25">
      <c r="A30" s="103">
        <v>1988</v>
      </c>
      <c r="B30" s="103">
        <v>32009024</v>
      </c>
      <c r="C30" s="104">
        <v>3939881</v>
      </c>
      <c r="D30" s="119">
        <v>4944573</v>
      </c>
      <c r="E30" s="119">
        <v>5118931</v>
      </c>
      <c r="F30" s="119">
        <v>1557783</v>
      </c>
      <c r="O30" s="170"/>
    </row>
    <row r="31" spans="1:15" x14ac:dyDescent="0.25">
      <c r="A31" s="103">
        <v>1989</v>
      </c>
      <c r="B31" s="103">
        <v>32657292</v>
      </c>
      <c r="C31" s="104">
        <v>4049119</v>
      </c>
      <c r="D31" s="119">
        <v>4959831</v>
      </c>
      <c r="E31" s="119">
        <v>5125492</v>
      </c>
      <c r="F31" s="119">
        <v>1567165</v>
      </c>
      <c r="O31" s="170"/>
    </row>
    <row r="32" spans="1:15" x14ac:dyDescent="0.25">
      <c r="A32" s="103">
        <v>1990</v>
      </c>
      <c r="B32" s="103">
        <v>33306941</v>
      </c>
      <c r="C32" s="104">
        <v>4158825</v>
      </c>
      <c r="D32" s="119">
        <v>4977241</v>
      </c>
      <c r="E32" s="119">
        <v>5134902</v>
      </c>
      <c r="F32" s="119">
        <v>1567686</v>
      </c>
      <c r="O32" s="170"/>
    </row>
    <row r="33" spans="1:15" x14ac:dyDescent="0.25">
      <c r="A33" s="103">
        <v>1991</v>
      </c>
      <c r="B33" s="103">
        <v>33957286</v>
      </c>
      <c r="C33" s="104">
        <v>4268571</v>
      </c>
      <c r="D33" s="119">
        <v>4998043</v>
      </c>
      <c r="E33" s="119">
        <v>5147321</v>
      </c>
      <c r="F33" s="119">
        <v>1556804</v>
      </c>
      <c r="O33" s="170"/>
    </row>
    <row r="34" spans="1:15" x14ac:dyDescent="0.25">
      <c r="A34" s="103">
        <v>1992</v>
      </c>
      <c r="B34" s="103">
        <v>34608171</v>
      </c>
      <c r="C34" s="104">
        <v>4378070</v>
      </c>
      <c r="D34" s="119">
        <v>5022140</v>
      </c>
      <c r="E34" s="119">
        <v>5162807</v>
      </c>
      <c r="F34" s="119">
        <v>1534583</v>
      </c>
      <c r="O34" s="170"/>
    </row>
    <row r="35" spans="1:15" x14ac:dyDescent="0.25">
      <c r="A35" s="103">
        <v>1993</v>
      </c>
      <c r="B35" s="103">
        <v>35260456</v>
      </c>
      <c r="C35" s="104">
        <v>4487320</v>
      </c>
      <c r="D35" s="119">
        <v>5048182</v>
      </c>
      <c r="E35" s="119">
        <v>5180968</v>
      </c>
      <c r="F35" s="119">
        <v>1504500</v>
      </c>
      <c r="O35" s="170"/>
    </row>
    <row r="36" spans="1:15" x14ac:dyDescent="0.25">
      <c r="A36" s="103">
        <v>1994</v>
      </c>
      <c r="B36" s="103">
        <v>35915434</v>
      </c>
      <c r="C36" s="104">
        <v>4596562</v>
      </c>
      <c r="D36" s="119">
        <v>5073982</v>
      </c>
      <c r="E36" s="119">
        <v>5200976</v>
      </c>
      <c r="F36" s="119">
        <v>1472633</v>
      </c>
      <c r="O36" s="170"/>
    </row>
    <row r="37" spans="1:15" x14ac:dyDescent="0.25">
      <c r="A37" s="103">
        <v>1995</v>
      </c>
      <c r="B37" s="103">
        <v>36573895</v>
      </c>
      <c r="C37" s="104">
        <v>4706038</v>
      </c>
      <c r="D37" s="119">
        <v>5097338</v>
      </c>
      <c r="E37" s="119">
        <v>5221952</v>
      </c>
      <c r="F37" s="119">
        <v>1445111</v>
      </c>
      <c r="O37" s="170"/>
    </row>
    <row r="38" spans="1:15" x14ac:dyDescent="0.25">
      <c r="A38" s="103">
        <v>1996</v>
      </c>
      <c r="B38" s="103">
        <v>37236124</v>
      </c>
      <c r="C38" s="104">
        <v>4815774</v>
      </c>
      <c r="D38" s="119">
        <v>5117099</v>
      </c>
      <c r="E38" s="119">
        <v>5243483</v>
      </c>
      <c r="F38" s="119">
        <v>1425431</v>
      </c>
      <c r="O38" s="170"/>
    </row>
    <row r="39" spans="1:15" x14ac:dyDescent="0.25">
      <c r="A39" s="103">
        <v>1997</v>
      </c>
      <c r="B39" s="103">
        <v>37901358</v>
      </c>
      <c r="C39" s="104">
        <v>4925521</v>
      </c>
      <c r="D39" s="119">
        <v>5133388</v>
      </c>
      <c r="E39" s="119">
        <v>5265533</v>
      </c>
      <c r="F39" s="119">
        <v>1413752</v>
      </c>
      <c r="O39" s="170"/>
    </row>
    <row r="40" spans="1:15" x14ac:dyDescent="0.25">
      <c r="A40" s="103">
        <v>1998</v>
      </c>
      <c r="B40" s="103">
        <v>38568056</v>
      </c>
      <c r="C40" s="104">
        <v>5034826</v>
      </c>
      <c r="D40" s="119">
        <v>5146992</v>
      </c>
      <c r="E40" s="119">
        <v>5287682</v>
      </c>
      <c r="F40" s="119">
        <v>1408053</v>
      </c>
      <c r="O40" s="170"/>
    </row>
    <row r="41" spans="1:15" x14ac:dyDescent="0.25">
      <c r="A41" s="103">
        <v>1999</v>
      </c>
      <c r="B41" s="103">
        <v>39234115</v>
      </c>
      <c r="C41" s="104">
        <v>5143121</v>
      </c>
      <c r="D41" s="119">
        <v>5159005</v>
      </c>
      <c r="E41" s="119">
        <v>5309045</v>
      </c>
      <c r="F41" s="119">
        <v>1405105</v>
      </c>
      <c r="O41" s="170"/>
    </row>
    <row r="42" spans="1:15" x14ac:dyDescent="0.25">
      <c r="A42" s="103">
        <v>2000</v>
      </c>
      <c r="B42" s="103">
        <v>39897984</v>
      </c>
      <c r="C42" s="104">
        <v>5249819</v>
      </c>
      <c r="D42" s="119">
        <v>5170631</v>
      </c>
      <c r="E42" s="119">
        <v>5328847</v>
      </c>
      <c r="F42" s="119">
        <v>1401483</v>
      </c>
      <c r="O42" s="170"/>
    </row>
    <row r="43" spans="1:15" x14ac:dyDescent="0.25">
      <c r="A43" s="103">
        <v>2001</v>
      </c>
      <c r="B43" s="103">
        <v>40558648</v>
      </c>
      <c r="C43" s="104">
        <v>5354664</v>
      </c>
      <c r="D43" s="119">
        <v>5182464</v>
      </c>
      <c r="E43" s="119">
        <v>5346494</v>
      </c>
      <c r="F43" s="119">
        <v>1395450</v>
      </c>
      <c r="O43" s="170"/>
    </row>
    <row r="44" spans="1:15" x14ac:dyDescent="0.25">
      <c r="A44" s="103">
        <v>2002</v>
      </c>
      <c r="B44" s="103">
        <v>41216304</v>
      </c>
      <c r="C44" s="104">
        <v>5457620</v>
      </c>
      <c r="D44" s="119">
        <v>5194539</v>
      </c>
      <c r="E44" s="119">
        <v>5361881</v>
      </c>
      <c r="F44" s="119">
        <v>1387245</v>
      </c>
      <c r="O44" s="170"/>
    </row>
    <row r="45" spans="1:15" x14ac:dyDescent="0.25">
      <c r="A45" s="103">
        <v>2003</v>
      </c>
      <c r="B45" s="103">
        <v>41872051</v>
      </c>
      <c r="C45" s="104">
        <v>5558282</v>
      </c>
      <c r="D45" s="119">
        <v>5207216</v>
      </c>
      <c r="E45" s="119">
        <v>5376006</v>
      </c>
      <c r="F45" s="119">
        <v>1377813</v>
      </c>
      <c r="O45" s="170"/>
    </row>
    <row r="46" spans="1:15" x14ac:dyDescent="0.25">
      <c r="A46" s="103">
        <v>2004</v>
      </c>
      <c r="B46" s="103">
        <v>42527623</v>
      </c>
      <c r="C46" s="104">
        <v>5655845</v>
      </c>
      <c r="D46" s="119">
        <v>5221321</v>
      </c>
      <c r="E46" s="119">
        <v>5390799</v>
      </c>
      <c r="F46" s="119">
        <v>1368220</v>
      </c>
      <c r="O46" s="170"/>
    </row>
    <row r="47" spans="1:15" x14ac:dyDescent="0.25">
      <c r="A47" s="103">
        <v>2005</v>
      </c>
      <c r="B47" s="103">
        <v>43184026</v>
      </c>
      <c r="C47" s="104">
        <v>5749618</v>
      </c>
      <c r="D47" s="119">
        <v>5237605</v>
      </c>
      <c r="E47" s="119">
        <v>5408169</v>
      </c>
      <c r="F47" s="119">
        <v>1359606</v>
      </c>
      <c r="O47" s="170"/>
    </row>
    <row r="48" spans="1:15" x14ac:dyDescent="0.25">
      <c r="A48" s="103">
        <v>2006</v>
      </c>
      <c r="B48" s="103">
        <v>43841370</v>
      </c>
      <c r="C48" s="104">
        <v>5839145</v>
      </c>
      <c r="D48" s="119">
        <v>5256484</v>
      </c>
      <c r="E48" s="119">
        <v>5429194</v>
      </c>
      <c r="F48" s="119">
        <v>1352516</v>
      </c>
      <c r="O48" s="170"/>
    </row>
    <row r="49" spans="1:15" x14ac:dyDescent="0.25">
      <c r="A49" s="103">
        <v>2007</v>
      </c>
      <c r="B49" s="103">
        <v>44498390</v>
      </c>
      <c r="C49" s="104">
        <v>5924479</v>
      </c>
      <c r="D49" s="119">
        <v>5277967</v>
      </c>
      <c r="E49" s="119">
        <v>5453842</v>
      </c>
      <c r="F49" s="119">
        <v>1346801</v>
      </c>
      <c r="O49" s="170"/>
    </row>
    <row r="50" spans="1:15" x14ac:dyDescent="0.25">
      <c r="A50" s="103">
        <v>2008</v>
      </c>
      <c r="B50" s="103">
        <v>45153037</v>
      </c>
      <c r="C50" s="104">
        <v>6006646</v>
      </c>
      <c r="D50" s="119">
        <v>5301752</v>
      </c>
      <c r="E50" s="119">
        <v>5481145</v>
      </c>
      <c r="F50" s="119">
        <v>1342087</v>
      </c>
      <c r="O50" s="170"/>
    </row>
    <row r="51" spans="1:15" x14ac:dyDescent="0.25">
      <c r="A51" s="103">
        <v>2009</v>
      </c>
      <c r="B51" s="103">
        <v>45802561</v>
      </c>
      <c r="C51" s="104">
        <v>6087489</v>
      </c>
      <c r="D51" s="119">
        <v>5327328</v>
      </c>
      <c r="E51" s="119">
        <v>5509529</v>
      </c>
      <c r="F51" s="119">
        <v>1337977</v>
      </c>
      <c r="O51" s="170"/>
    </row>
    <row r="52" spans="1:15" x14ac:dyDescent="0.25">
      <c r="A52" s="103">
        <v>2010</v>
      </c>
      <c r="B52" s="103">
        <v>46444798</v>
      </c>
      <c r="C52" s="104">
        <v>6168862</v>
      </c>
      <c r="D52" s="119">
        <v>5354089</v>
      </c>
      <c r="E52" s="119">
        <v>5537357</v>
      </c>
      <c r="F52" s="119">
        <v>1334051</v>
      </c>
      <c r="O52" s="170"/>
    </row>
    <row r="53" spans="1:15" x14ac:dyDescent="0.25">
      <c r="A53" s="103">
        <v>2011</v>
      </c>
      <c r="B53" s="103">
        <v>47078792</v>
      </c>
      <c r="C53" s="104">
        <v>6251820</v>
      </c>
      <c r="D53" s="119">
        <v>5381755</v>
      </c>
      <c r="E53" s="119">
        <v>5563768</v>
      </c>
      <c r="F53" s="119">
        <v>1330079</v>
      </c>
      <c r="O53" s="170"/>
    </row>
    <row r="54" spans="1:15" x14ac:dyDescent="0.25">
      <c r="A54" s="103">
        <v>2012</v>
      </c>
      <c r="B54" s="103">
        <v>47704427</v>
      </c>
      <c r="C54" s="104">
        <v>6336463</v>
      </c>
      <c r="D54" s="119">
        <v>5410230</v>
      </c>
      <c r="E54" s="119">
        <v>5588775</v>
      </c>
      <c r="F54" s="119">
        <v>1326054</v>
      </c>
      <c r="O54" s="170"/>
    </row>
    <row r="55" spans="1:15" x14ac:dyDescent="0.25">
      <c r="A55" s="103">
        <v>2013</v>
      </c>
      <c r="B55" s="103">
        <v>48255890</v>
      </c>
      <c r="C55" s="104">
        <v>6422416</v>
      </c>
      <c r="D55" s="119">
        <v>5438853</v>
      </c>
      <c r="E55" s="119">
        <v>5612633</v>
      </c>
      <c r="F55" s="119">
        <v>1320174</v>
      </c>
      <c r="O55" s="170"/>
    </row>
    <row r="56" spans="1:15" x14ac:dyDescent="0.25">
      <c r="A56" s="103">
        <v>2014</v>
      </c>
      <c r="B56" s="103">
        <v>48813728</v>
      </c>
      <c r="C56" s="104">
        <v>6509094</v>
      </c>
      <c r="D56" s="119">
        <v>5466361</v>
      </c>
      <c r="E56" s="119">
        <v>5635596</v>
      </c>
      <c r="F56" s="119">
        <v>1315819</v>
      </c>
      <c r="O56" s="170"/>
    </row>
    <row r="57" spans="1:15" x14ac:dyDescent="0.25">
      <c r="A57" s="103">
        <v>2015</v>
      </c>
      <c r="B57" s="103">
        <v>49378015</v>
      </c>
      <c r="C57" s="104">
        <v>6595821</v>
      </c>
      <c r="D57" s="119">
        <v>5491559</v>
      </c>
      <c r="E57" s="119">
        <v>5657990</v>
      </c>
      <c r="F57" s="119">
        <v>1311759</v>
      </c>
      <c r="O57" s="170"/>
    </row>
    <row r="58" spans="1:15" x14ac:dyDescent="0.25">
      <c r="A58" s="103">
        <v>2016</v>
      </c>
      <c r="B58" s="103">
        <v>49948825</v>
      </c>
      <c r="C58" s="104">
        <v>6683941</v>
      </c>
      <c r="D58" s="119">
        <v>5518962</v>
      </c>
      <c r="E58" s="119">
        <v>5681810</v>
      </c>
      <c r="F58" s="119">
        <v>1307889</v>
      </c>
      <c r="O58" s="170"/>
    </row>
  </sheetData>
  <hyperlinks>
    <hyperlink ref="H1" r:id="rId1"/>
  </hyperlinks>
  <pageMargins left="0.7" right="0.7" top="0.75" bottom="0.75" header="0.3" footer="0.3"/>
  <pageSetup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95"/>
  <sheetViews>
    <sheetView topLeftCell="BP1" workbookViewId="0">
      <selection activeCell="F9" sqref="F9"/>
    </sheetView>
  </sheetViews>
  <sheetFormatPr defaultRowHeight="15" x14ac:dyDescent="0.25"/>
  <sheetData>
    <row r="1" spans="1:91" ht="24" x14ac:dyDescent="0.25">
      <c r="A1" s="5" t="s">
        <v>14</v>
      </c>
      <c r="B1" s="5" t="s">
        <v>15</v>
      </c>
      <c r="C1" s="6" t="s">
        <v>16</v>
      </c>
      <c r="D1" s="6" t="s">
        <v>17</v>
      </c>
      <c r="E1" s="7" t="s">
        <v>18</v>
      </c>
      <c r="F1" s="8" t="s">
        <v>19</v>
      </c>
      <c r="G1" s="8" t="s">
        <v>20</v>
      </c>
      <c r="H1" s="8" t="s">
        <v>21</v>
      </c>
      <c r="I1" s="8" t="s">
        <v>22</v>
      </c>
      <c r="J1" s="8" t="s">
        <v>23</v>
      </c>
      <c r="K1" s="8" t="s">
        <v>24</v>
      </c>
      <c r="L1" s="8" t="s">
        <v>25</v>
      </c>
      <c r="M1" s="8" t="s">
        <v>26</v>
      </c>
      <c r="N1" s="8" t="s">
        <v>27</v>
      </c>
      <c r="O1" s="8" t="s">
        <v>28</v>
      </c>
      <c r="P1" s="8" t="s">
        <v>29</v>
      </c>
      <c r="Q1" s="8" t="s">
        <v>30</v>
      </c>
      <c r="R1" s="8" t="s">
        <v>31</v>
      </c>
      <c r="S1" s="8" t="s">
        <v>32</v>
      </c>
      <c r="T1" s="8" t="s">
        <v>33</v>
      </c>
      <c r="U1" s="8" t="s">
        <v>34</v>
      </c>
      <c r="V1" s="8" t="s">
        <v>35</v>
      </c>
      <c r="W1" s="8" t="s">
        <v>36</v>
      </c>
      <c r="X1" s="8" t="s">
        <v>37</v>
      </c>
      <c r="Y1" s="8" t="s">
        <v>38</v>
      </c>
      <c r="Z1" s="8" t="s">
        <v>39</v>
      </c>
      <c r="AA1" s="8" t="s">
        <v>40</v>
      </c>
      <c r="AB1" s="8" t="s">
        <v>41</v>
      </c>
      <c r="AC1" s="8" t="s">
        <v>42</v>
      </c>
      <c r="AD1" s="8" t="s">
        <v>43</v>
      </c>
      <c r="AE1" s="8" t="s">
        <v>44</v>
      </c>
      <c r="AF1" s="8" t="s">
        <v>45</v>
      </c>
      <c r="AG1" s="8" t="s">
        <v>46</v>
      </c>
      <c r="AH1" s="8" t="s">
        <v>47</v>
      </c>
      <c r="AI1" s="8" t="s">
        <v>48</v>
      </c>
      <c r="AJ1" s="8" t="s">
        <v>49</v>
      </c>
      <c r="AK1" s="8" t="s">
        <v>50</v>
      </c>
      <c r="AL1" s="8" t="s">
        <v>51</v>
      </c>
      <c r="AM1" s="8" t="s">
        <v>52</v>
      </c>
      <c r="AN1" s="8" t="s">
        <v>53</v>
      </c>
      <c r="AO1" s="8" t="s">
        <v>54</v>
      </c>
      <c r="AP1" s="8" t="s">
        <v>55</v>
      </c>
      <c r="AQ1" s="8" t="s">
        <v>56</v>
      </c>
      <c r="AR1" s="8" t="s">
        <v>57</v>
      </c>
      <c r="AS1" s="8" t="s">
        <v>58</v>
      </c>
      <c r="AT1" s="8" t="s">
        <v>59</v>
      </c>
      <c r="AU1" s="8" t="s">
        <v>60</v>
      </c>
      <c r="AV1" s="8" t="s">
        <v>61</v>
      </c>
      <c r="AW1" s="8" t="s">
        <v>62</v>
      </c>
      <c r="AX1" s="8" t="s">
        <v>63</v>
      </c>
      <c r="AY1" s="8" t="s">
        <v>64</v>
      </c>
      <c r="AZ1" s="8" t="s">
        <v>65</v>
      </c>
      <c r="BA1" s="8" t="s">
        <v>66</v>
      </c>
      <c r="BB1" s="8" t="s">
        <v>67</v>
      </c>
      <c r="BC1" s="8" t="s">
        <v>68</v>
      </c>
      <c r="BD1" s="8" t="s">
        <v>69</v>
      </c>
      <c r="BE1" s="8" t="s">
        <v>70</v>
      </c>
      <c r="BF1" s="8" t="s">
        <v>71</v>
      </c>
      <c r="BG1" s="8" t="s">
        <v>72</v>
      </c>
      <c r="BH1" s="8" t="s">
        <v>73</v>
      </c>
      <c r="BI1" s="8" t="s">
        <v>74</v>
      </c>
      <c r="BJ1" s="8" t="s">
        <v>75</v>
      </c>
      <c r="BK1" s="8" t="s">
        <v>76</v>
      </c>
      <c r="BL1" s="8" t="s">
        <v>77</v>
      </c>
      <c r="BM1" s="8" t="s">
        <v>78</v>
      </c>
      <c r="BN1" s="8" t="s">
        <v>79</v>
      </c>
      <c r="BO1" s="8" t="s">
        <v>80</v>
      </c>
      <c r="BP1" s="8" t="s">
        <v>81</v>
      </c>
      <c r="BQ1" s="8" t="s">
        <v>82</v>
      </c>
      <c r="BR1" s="8" t="s">
        <v>83</v>
      </c>
      <c r="BS1" s="8" t="s">
        <v>84</v>
      </c>
      <c r="BT1" s="8" t="s">
        <v>85</v>
      </c>
      <c r="BU1" s="8" t="s">
        <v>86</v>
      </c>
      <c r="BV1" s="8" t="s">
        <v>87</v>
      </c>
      <c r="BW1" s="8" t="s">
        <v>88</v>
      </c>
      <c r="BX1" s="8" t="s">
        <v>89</v>
      </c>
      <c r="BY1" s="8" t="s">
        <v>90</v>
      </c>
      <c r="BZ1" s="8" t="s">
        <v>91</v>
      </c>
      <c r="CA1" s="8" t="s">
        <v>92</v>
      </c>
      <c r="CB1" s="8" t="s">
        <v>93</v>
      </c>
      <c r="CC1" s="8" t="s">
        <v>94</v>
      </c>
      <c r="CD1" s="8" t="s">
        <v>95</v>
      </c>
      <c r="CE1" s="8" t="s">
        <v>96</v>
      </c>
      <c r="CF1" s="8" t="s">
        <v>97</v>
      </c>
      <c r="CG1" s="8" t="s">
        <v>98</v>
      </c>
      <c r="CH1" s="8" t="s">
        <v>99</v>
      </c>
      <c r="CI1" s="8" t="s">
        <v>100</v>
      </c>
      <c r="CJ1" s="8" t="s">
        <v>101</v>
      </c>
      <c r="CK1" s="8" t="s">
        <v>102</v>
      </c>
      <c r="CL1" s="8" t="s">
        <v>103</v>
      </c>
      <c r="CM1" s="8" t="s">
        <v>104</v>
      </c>
    </row>
    <row r="2" spans="1:91" x14ac:dyDescent="0.25">
      <c r="A2" s="1">
        <v>230</v>
      </c>
      <c r="B2" s="2" t="s">
        <v>12</v>
      </c>
      <c r="C2" s="106" t="s">
        <v>13</v>
      </c>
      <c r="D2" s="3"/>
      <c r="E2" s="3">
        <v>170</v>
      </c>
      <c r="F2" s="4">
        <v>48228.703999999998</v>
      </c>
      <c r="G2" s="4">
        <v>48654.392</v>
      </c>
      <c r="H2" s="4">
        <v>49067.981</v>
      </c>
      <c r="I2" s="4">
        <v>49468.824999999997</v>
      </c>
      <c r="J2" s="4">
        <v>49856.03</v>
      </c>
      <c r="K2" s="4">
        <v>50228.928</v>
      </c>
      <c r="L2" s="4">
        <v>50587.279000000002</v>
      </c>
      <c r="M2" s="4">
        <v>50931.182000000001</v>
      </c>
      <c r="N2" s="4">
        <v>51260.735999999997</v>
      </c>
      <c r="O2" s="4">
        <v>51576.171999999999</v>
      </c>
      <c r="P2" s="4">
        <v>51877.661</v>
      </c>
      <c r="Q2" s="4">
        <v>52165.16</v>
      </c>
      <c r="R2" s="4">
        <v>52438.578000000001</v>
      </c>
      <c r="S2" s="4">
        <v>52697.991999999998</v>
      </c>
      <c r="T2" s="4">
        <v>52943.502</v>
      </c>
      <c r="U2" s="4">
        <v>53175.178999999996</v>
      </c>
      <c r="V2" s="4">
        <v>53393.093999999997</v>
      </c>
      <c r="W2" s="4">
        <v>53597.222000000002</v>
      </c>
      <c r="X2" s="4">
        <v>53787.406999999999</v>
      </c>
      <c r="Y2" s="4">
        <v>53963.438000000002</v>
      </c>
      <c r="Z2" s="4">
        <v>54125.18</v>
      </c>
      <c r="AA2" s="4">
        <v>54272.633999999998</v>
      </c>
      <c r="AB2" s="4">
        <v>54405.927000000003</v>
      </c>
      <c r="AC2" s="4">
        <v>54525.222000000002</v>
      </c>
      <c r="AD2" s="4">
        <v>54630.735000000001</v>
      </c>
      <c r="AE2" s="4">
        <v>54722.67</v>
      </c>
      <c r="AF2" s="4">
        <v>54801.25</v>
      </c>
      <c r="AG2" s="4">
        <v>54866.601999999999</v>
      </c>
      <c r="AH2" s="4">
        <v>54918.728999999999</v>
      </c>
      <c r="AI2" s="4">
        <v>54957.587</v>
      </c>
      <c r="AJ2" s="4">
        <v>54983.25</v>
      </c>
      <c r="AK2" s="4">
        <v>54995.832999999999</v>
      </c>
      <c r="AL2" s="4">
        <v>54995.741999999998</v>
      </c>
      <c r="AM2" s="4">
        <v>54983.703999999998</v>
      </c>
      <c r="AN2" s="4">
        <v>54960.635000000002</v>
      </c>
      <c r="AO2" s="4">
        <v>54927.275000000001</v>
      </c>
      <c r="AP2" s="4">
        <v>54884.091</v>
      </c>
      <c r="AQ2" s="4">
        <v>54831.241000000002</v>
      </c>
      <c r="AR2" s="4">
        <v>54768.78</v>
      </c>
      <c r="AS2" s="4">
        <v>54696.625999999997</v>
      </c>
      <c r="AT2" s="4">
        <v>54614.807999999997</v>
      </c>
      <c r="AU2" s="4">
        <v>54523.504999999997</v>
      </c>
      <c r="AV2" s="4">
        <v>54423.125999999997</v>
      </c>
      <c r="AW2" s="4">
        <v>54314.197</v>
      </c>
      <c r="AX2" s="4">
        <v>54197.353000000003</v>
      </c>
      <c r="AY2" s="4">
        <v>54073.103000000003</v>
      </c>
      <c r="AZ2" s="4">
        <v>53941.779000000002</v>
      </c>
      <c r="BA2" s="4">
        <v>53803.495000000003</v>
      </c>
      <c r="BB2" s="4">
        <v>53658.267</v>
      </c>
      <c r="BC2" s="4">
        <v>53506.000999999997</v>
      </c>
      <c r="BD2" s="4">
        <v>53346.678</v>
      </c>
      <c r="BE2" s="4">
        <v>53180.451999999997</v>
      </c>
      <c r="BF2" s="4">
        <v>53007.576000000001</v>
      </c>
      <c r="BG2" s="4">
        <v>52828.243000000002</v>
      </c>
      <c r="BH2" s="4">
        <v>52642.665000000001</v>
      </c>
      <c r="BI2" s="4">
        <v>52451.05</v>
      </c>
      <c r="BJ2" s="4">
        <v>52253.661999999997</v>
      </c>
      <c r="BK2" s="4">
        <v>52050.697</v>
      </c>
      <c r="BL2" s="4">
        <v>51842.216</v>
      </c>
      <c r="BM2" s="4">
        <v>51628.235999999997</v>
      </c>
      <c r="BN2" s="4">
        <v>51408.873</v>
      </c>
      <c r="BO2" s="4">
        <v>51184.328999999998</v>
      </c>
      <c r="BP2" s="4">
        <v>50955.006999999998</v>
      </c>
      <c r="BQ2" s="4">
        <v>50721.497000000003</v>
      </c>
      <c r="BR2" s="4">
        <v>50484.506000000001</v>
      </c>
      <c r="BS2" s="4">
        <v>50244.654999999999</v>
      </c>
      <c r="BT2" s="4">
        <v>50002.311000000002</v>
      </c>
      <c r="BU2" s="4">
        <v>49757.750999999997</v>
      </c>
      <c r="BV2" s="4">
        <v>49511.400999999998</v>
      </c>
      <c r="BW2" s="4">
        <v>49263.678999999996</v>
      </c>
      <c r="BX2" s="4">
        <v>49014.957000000002</v>
      </c>
      <c r="BY2" s="4">
        <v>48765.616999999998</v>
      </c>
      <c r="BZ2" s="4">
        <v>48515.921999999999</v>
      </c>
      <c r="CA2" s="4">
        <v>48265.974999999999</v>
      </c>
      <c r="CB2" s="4">
        <v>48015.790999999997</v>
      </c>
      <c r="CC2" s="4">
        <v>47765.46</v>
      </c>
      <c r="CD2" s="4">
        <v>47515.195</v>
      </c>
      <c r="CE2" s="4">
        <v>47265.315000000002</v>
      </c>
      <c r="CF2" s="4">
        <v>47016.201000000001</v>
      </c>
      <c r="CG2" s="4">
        <v>46768.248</v>
      </c>
      <c r="CH2" s="4">
        <v>46521.811000000002</v>
      </c>
      <c r="CI2" s="4">
        <v>46277.199000000001</v>
      </c>
      <c r="CJ2" s="4">
        <v>46034.658000000003</v>
      </c>
      <c r="CK2" s="4">
        <v>45794.373</v>
      </c>
      <c r="CL2" s="4">
        <v>45556.463000000003</v>
      </c>
      <c r="CM2" s="4">
        <v>45320.995999999999</v>
      </c>
    </row>
    <row r="3" spans="1:91" x14ac:dyDescent="0.25">
      <c r="A3" s="1">
        <v>235</v>
      </c>
      <c r="B3" s="2" t="s">
        <v>12</v>
      </c>
      <c r="C3" s="105" t="s">
        <v>148</v>
      </c>
      <c r="D3" s="3"/>
      <c r="E3" s="3">
        <v>600</v>
      </c>
      <c r="F3" s="4">
        <v>6639.1229999999996</v>
      </c>
      <c r="G3" s="4">
        <v>6725.43</v>
      </c>
      <c r="H3" s="4">
        <v>6811.5829999999996</v>
      </c>
      <c r="I3" s="4">
        <v>6897.3850000000002</v>
      </c>
      <c r="J3" s="4">
        <v>6982.6210000000001</v>
      </c>
      <c r="K3" s="4">
        <v>7067.0969999999998</v>
      </c>
      <c r="L3" s="4">
        <v>7150.6890000000003</v>
      </c>
      <c r="M3" s="4">
        <v>7233.29</v>
      </c>
      <c r="N3" s="4">
        <v>7314.7579999999998</v>
      </c>
      <c r="O3" s="4">
        <v>7394.9520000000002</v>
      </c>
      <c r="P3" s="4">
        <v>7473.7560000000003</v>
      </c>
      <c r="Q3" s="4">
        <v>7551.0550000000003</v>
      </c>
      <c r="R3" s="4">
        <v>7626.7839999999997</v>
      </c>
      <c r="S3" s="4">
        <v>7700.9369999999999</v>
      </c>
      <c r="T3" s="4">
        <v>7773.54</v>
      </c>
      <c r="U3" s="4">
        <v>7844.598</v>
      </c>
      <c r="V3" s="4">
        <v>7914.0950000000003</v>
      </c>
      <c r="W3" s="4">
        <v>7981.9589999999998</v>
      </c>
      <c r="X3" s="4">
        <v>8048.0919999999996</v>
      </c>
      <c r="Y3" s="4">
        <v>8112.3689999999997</v>
      </c>
      <c r="Z3" s="4">
        <v>8174.7039999999997</v>
      </c>
      <c r="AA3" s="4">
        <v>8235.0499999999993</v>
      </c>
      <c r="AB3" s="4">
        <v>8293.43</v>
      </c>
      <c r="AC3" s="4">
        <v>8349.9169999999995</v>
      </c>
      <c r="AD3" s="4">
        <v>8404.6239999999998</v>
      </c>
      <c r="AE3" s="4">
        <v>8457.6370000000006</v>
      </c>
      <c r="AF3" s="4">
        <v>8508.9760000000006</v>
      </c>
      <c r="AG3" s="4">
        <v>8558.6260000000002</v>
      </c>
      <c r="AH3" s="4">
        <v>8606.5889999999999</v>
      </c>
      <c r="AI3" s="4">
        <v>8652.8649999999998</v>
      </c>
      <c r="AJ3" s="4">
        <v>8697.4480000000003</v>
      </c>
      <c r="AK3" s="4">
        <v>8740.3369999999995</v>
      </c>
      <c r="AL3" s="4">
        <v>8781.5400000000009</v>
      </c>
      <c r="AM3" s="4">
        <v>8821.0849999999991</v>
      </c>
      <c r="AN3" s="4">
        <v>8859.0079999999998</v>
      </c>
      <c r="AO3" s="4">
        <v>8895.3240000000005</v>
      </c>
      <c r="AP3" s="4">
        <v>8930.0380000000005</v>
      </c>
      <c r="AQ3" s="4">
        <v>8963.1170000000002</v>
      </c>
      <c r="AR3" s="4">
        <v>8994.5049999999992</v>
      </c>
      <c r="AS3" s="4">
        <v>9024.1229999999996</v>
      </c>
      <c r="AT3" s="4">
        <v>9051.9030000000002</v>
      </c>
      <c r="AU3" s="4">
        <v>9077.8209999999999</v>
      </c>
      <c r="AV3" s="4">
        <v>9101.8629999999994</v>
      </c>
      <c r="AW3" s="4">
        <v>9123.9930000000004</v>
      </c>
      <c r="AX3" s="4">
        <v>9144.1790000000001</v>
      </c>
      <c r="AY3" s="4">
        <v>9162.3889999999992</v>
      </c>
      <c r="AZ3" s="4">
        <v>9178.6129999999994</v>
      </c>
      <c r="BA3" s="4">
        <v>9192.8420000000006</v>
      </c>
      <c r="BB3" s="4">
        <v>9205.0519999999997</v>
      </c>
      <c r="BC3" s="4">
        <v>9215.2250000000004</v>
      </c>
      <c r="BD3" s="4">
        <v>9223.35</v>
      </c>
      <c r="BE3" s="4">
        <v>9229.4369999999999</v>
      </c>
      <c r="BF3" s="4">
        <v>9233.5110000000004</v>
      </c>
      <c r="BG3" s="4">
        <v>9235.6010000000006</v>
      </c>
      <c r="BH3" s="4">
        <v>9235.75</v>
      </c>
      <c r="BI3" s="4">
        <v>9234.0020000000004</v>
      </c>
      <c r="BJ3" s="4">
        <v>9230.4030000000002</v>
      </c>
      <c r="BK3" s="4">
        <v>9225.0040000000008</v>
      </c>
      <c r="BL3" s="4">
        <v>9217.8729999999996</v>
      </c>
      <c r="BM3" s="4">
        <v>9209.0830000000005</v>
      </c>
      <c r="BN3" s="4">
        <v>9198.7129999999997</v>
      </c>
      <c r="BO3" s="4">
        <v>9186.8279999999995</v>
      </c>
      <c r="BP3" s="4">
        <v>9173.5069999999996</v>
      </c>
      <c r="BQ3" s="4">
        <v>9158.8619999999992</v>
      </c>
      <c r="BR3" s="4">
        <v>9143.0220000000008</v>
      </c>
      <c r="BS3" s="4">
        <v>9126.098</v>
      </c>
      <c r="BT3" s="4">
        <v>9108.1749999999993</v>
      </c>
      <c r="BU3" s="4">
        <v>9089.3250000000007</v>
      </c>
      <c r="BV3" s="4">
        <v>9069.6419999999998</v>
      </c>
      <c r="BW3" s="4">
        <v>9049.2150000000001</v>
      </c>
      <c r="BX3" s="4">
        <v>9028.1309999999994</v>
      </c>
      <c r="BY3" s="4">
        <v>9006.4519999999993</v>
      </c>
      <c r="BZ3" s="4">
        <v>8984.2360000000008</v>
      </c>
      <c r="CA3" s="4">
        <v>8961.5580000000009</v>
      </c>
      <c r="CB3" s="4">
        <v>8938.4889999999996</v>
      </c>
      <c r="CC3" s="4">
        <v>8915.0859999999993</v>
      </c>
      <c r="CD3" s="4">
        <v>8891.3870000000006</v>
      </c>
      <c r="CE3" s="4">
        <v>8867.4130000000005</v>
      </c>
      <c r="CF3" s="4">
        <v>8843.1689999999999</v>
      </c>
      <c r="CG3" s="4">
        <v>8818.6540000000005</v>
      </c>
      <c r="CH3" s="4">
        <v>8793.86</v>
      </c>
      <c r="CI3" s="4">
        <v>8768.7759999999998</v>
      </c>
      <c r="CJ3" s="4">
        <v>8743.3870000000006</v>
      </c>
      <c r="CK3" s="4">
        <v>8717.6759999999995</v>
      </c>
      <c r="CL3" s="4">
        <v>8691.6229999999996</v>
      </c>
      <c r="CM3" s="4">
        <v>8665.2060000000001</v>
      </c>
    </row>
    <row r="4" spans="1:91" x14ac:dyDescent="0.25">
      <c r="A4" s="1">
        <v>152</v>
      </c>
      <c r="B4" s="2" t="s">
        <v>12</v>
      </c>
      <c r="C4" s="120" t="s">
        <v>151</v>
      </c>
      <c r="D4" s="3">
        <v>16</v>
      </c>
      <c r="E4" s="3">
        <v>246</v>
      </c>
      <c r="F4" s="4">
        <v>5503.4570000000003</v>
      </c>
      <c r="G4" s="4">
        <v>5523.9040000000005</v>
      </c>
      <c r="H4" s="4">
        <v>5541.2740000000003</v>
      </c>
      <c r="I4" s="4">
        <v>5556.4390000000003</v>
      </c>
      <c r="J4" s="4">
        <v>5570.723</v>
      </c>
      <c r="K4" s="4">
        <v>5585.0910000000003</v>
      </c>
      <c r="L4" s="4">
        <v>5599.7749999999996</v>
      </c>
      <c r="M4" s="4">
        <v>5614.4610000000002</v>
      </c>
      <c r="N4" s="4">
        <v>5628.9160000000002</v>
      </c>
      <c r="O4" s="4">
        <v>5642.7250000000004</v>
      </c>
      <c r="P4" s="4">
        <v>5655.5780000000004</v>
      </c>
      <c r="Q4" s="4">
        <v>5667.4679999999998</v>
      </c>
      <c r="R4" s="4">
        <v>5678.5010000000002</v>
      </c>
      <c r="S4" s="4">
        <v>5688.6130000000003</v>
      </c>
      <c r="T4" s="4">
        <v>5697.7340000000004</v>
      </c>
      <c r="U4" s="4">
        <v>5705.8220000000001</v>
      </c>
      <c r="V4" s="4">
        <v>5712.875</v>
      </c>
      <c r="W4" s="4">
        <v>5718.9250000000002</v>
      </c>
      <c r="X4" s="4">
        <v>5724.009</v>
      </c>
      <c r="Y4" s="4">
        <v>5728.1890000000003</v>
      </c>
      <c r="Z4" s="4">
        <v>5731.5360000000001</v>
      </c>
      <c r="AA4" s="4">
        <v>5734.0889999999999</v>
      </c>
      <c r="AB4" s="4">
        <v>5735.9229999999998</v>
      </c>
      <c r="AC4" s="4">
        <v>5737.2030000000004</v>
      </c>
      <c r="AD4" s="4">
        <v>5738.1260000000002</v>
      </c>
      <c r="AE4" s="4">
        <v>5738.8630000000003</v>
      </c>
      <c r="AF4" s="4">
        <v>5739.491</v>
      </c>
      <c r="AG4" s="4">
        <v>5740.0630000000001</v>
      </c>
      <c r="AH4" s="4">
        <v>5740.6840000000002</v>
      </c>
      <c r="AI4" s="4">
        <v>5741.4579999999996</v>
      </c>
      <c r="AJ4" s="4">
        <v>5742.4660000000003</v>
      </c>
      <c r="AK4" s="4">
        <v>5743.7730000000001</v>
      </c>
      <c r="AL4" s="4">
        <v>5745.3969999999999</v>
      </c>
      <c r="AM4" s="4">
        <v>5747.3109999999997</v>
      </c>
      <c r="AN4" s="4">
        <v>5749.4530000000004</v>
      </c>
      <c r="AO4" s="4">
        <v>5751.7790000000005</v>
      </c>
      <c r="AP4" s="4">
        <v>5754.2889999999998</v>
      </c>
      <c r="AQ4" s="4">
        <v>5756.9960000000001</v>
      </c>
      <c r="AR4" s="4">
        <v>5759.8810000000003</v>
      </c>
      <c r="AS4" s="4">
        <v>5762.9160000000002</v>
      </c>
      <c r="AT4" s="4">
        <v>5766.0789999999997</v>
      </c>
      <c r="AU4" s="4">
        <v>5769.3530000000001</v>
      </c>
      <c r="AV4" s="4">
        <v>5772.7309999999998</v>
      </c>
      <c r="AW4" s="4">
        <v>5776.2079999999996</v>
      </c>
      <c r="AX4" s="4">
        <v>5779.7860000000001</v>
      </c>
      <c r="AY4" s="4">
        <v>5783.4589999999998</v>
      </c>
      <c r="AZ4" s="4">
        <v>5787.2129999999997</v>
      </c>
      <c r="BA4" s="4">
        <v>5791.0280000000002</v>
      </c>
      <c r="BB4" s="4">
        <v>5794.8879999999999</v>
      </c>
      <c r="BC4" s="4">
        <v>5798.7719999999999</v>
      </c>
      <c r="BD4" s="4">
        <v>5802.66</v>
      </c>
      <c r="BE4" s="4">
        <v>5806.5349999999999</v>
      </c>
      <c r="BF4" s="4">
        <v>5810.3739999999998</v>
      </c>
      <c r="BG4" s="4">
        <v>5814.1409999999996</v>
      </c>
      <c r="BH4" s="4">
        <v>5817.799</v>
      </c>
      <c r="BI4" s="4">
        <v>5821.31</v>
      </c>
      <c r="BJ4" s="4">
        <v>5824.6670000000004</v>
      </c>
      <c r="BK4" s="4">
        <v>5827.857</v>
      </c>
      <c r="BL4" s="4">
        <v>5830.8310000000001</v>
      </c>
      <c r="BM4" s="4">
        <v>5833.5330000000004</v>
      </c>
      <c r="BN4" s="4">
        <v>5835.9260000000004</v>
      </c>
      <c r="BO4" s="4">
        <v>5837.9859999999999</v>
      </c>
      <c r="BP4" s="4">
        <v>5839.7349999999997</v>
      </c>
      <c r="BQ4" s="4">
        <v>5841.2449999999999</v>
      </c>
      <c r="BR4" s="4">
        <v>5842.62</v>
      </c>
      <c r="BS4" s="4">
        <v>5843.9319999999998</v>
      </c>
      <c r="BT4" s="4">
        <v>5845.2120000000004</v>
      </c>
      <c r="BU4" s="4">
        <v>5846.4470000000001</v>
      </c>
      <c r="BV4" s="4">
        <v>5847.625</v>
      </c>
      <c r="BW4" s="4">
        <v>5848.7160000000003</v>
      </c>
      <c r="BX4" s="4">
        <v>5849.7039999999997</v>
      </c>
      <c r="BY4" s="4">
        <v>5850.5889999999999</v>
      </c>
      <c r="BZ4" s="4">
        <v>5851.3909999999996</v>
      </c>
      <c r="CA4" s="4">
        <v>5852.1180000000004</v>
      </c>
      <c r="CB4" s="4">
        <v>5852.7870000000003</v>
      </c>
      <c r="CC4" s="4">
        <v>5853.4110000000001</v>
      </c>
      <c r="CD4" s="4">
        <v>5853.9930000000004</v>
      </c>
      <c r="CE4" s="4">
        <v>5854.5330000000004</v>
      </c>
      <c r="CF4" s="4">
        <v>5855.027</v>
      </c>
      <c r="CG4" s="4">
        <v>5855.4679999999998</v>
      </c>
      <c r="CH4" s="4">
        <v>5855.8519999999999</v>
      </c>
      <c r="CI4" s="4">
        <v>5856.1769999999997</v>
      </c>
      <c r="CJ4" s="4">
        <v>5856.4409999999998</v>
      </c>
      <c r="CK4" s="4">
        <v>5856.6490000000003</v>
      </c>
      <c r="CL4" s="4">
        <v>5856.8040000000001</v>
      </c>
      <c r="CM4" s="4">
        <v>5856.9139999999998</v>
      </c>
    </row>
    <row r="5" spans="1:91" x14ac:dyDescent="0.25">
      <c r="A5" s="1">
        <v>149</v>
      </c>
      <c r="B5" s="2" t="s">
        <v>12</v>
      </c>
      <c r="C5" s="127" t="s">
        <v>154</v>
      </c>
      <c r="D5" s="3"/>
      <c r="E5" s="3">
        <v>208</v>
      </c>
      <c r="F5" s="4">
        <v>5669.0810000000001</v>
      </c>
      <c r="G5" s="4">
        <v>5690.75</v>
      </c>
      <c r="H5" s="4">
        <v>5711.8370000000004</v>
      </c>
      <c r="I5" s="4">
        <v>5732.7129999999997</v>
      </c>
      <c r="J5" s="4">
        <v>5753.8639999999996</v>
      </c>
      <c r="K5" s="4">
        <v>5775.634</v>
      </c>
      <c r="L5" s="4">
        <v>5798.1450000000004</v>
      </c>
      <c r="M5" s="4">
        <v>5821.2730000000001</v>
      </c>
      <c r="N5" s="4">
        <v>5844.8040000000001</v>
      </c>
      <c r="O5" s="4">
        <v>5868.4049999999997</v>
      </c>
      <c r="P5" s="4">
        <v>5891.8040000000001</v>
      </c>
      <c r="Q5" s="4">
        <v>5914.9449999999997</v>
      </c>
      <c r="R5" s="4">
        <v>5937.826</v>
      </c>
      <c r="S5" s="4">
        <v>5960.2870000000003</v>
      </c>
      <c r="T5" s="4">
        <v>5982.152</v>
      </c>
      <c r="U5" s="4">
        <v>6003.2839999999997</v>
      </c>
      <c r="V5" s="4">
        <v>6023.6090000000004</v>
      </c>
      <c r="W5" s="4">
        <v>6043.1130000000003</v>
      </c>
      <c r="X5" s="4">
        <v>6061.8040000000001</v>
      </c>
      <c r="Y5" s="4">
        <v>6079.7219999999998</v>
      </c>
      <c r="Z5" s="4">
        <v>6096.9049999999997</v>
      </c>
      <c r="AA5" s="4">
        <v>6113.3620000000001</v>
      </c>
      <c r="AB5" s="4">
        <v>6129.1030000000001</v>
      </c>
      <c r="AC5" s="4">
        <v>6144.1809999999996</v>
      </c>
      <c r="AD5" s="4">
        <v>6158.6639999999998</v>
      </c>
      <c r="AE5" s="4">
        <v>6172.62</v>
      </c>
      <c r="AF5" s="4">
        <v>6186.0829999999996</v>
      </c>
      <c r="AG5" s="4">
        <v>6199.1049999999996</v>
      </c>
      <c r="AH5" s="4">
        <v>6211.8040000000001</v>
      </c>
      <c r="AI5" s="4">
        <v>6224.3209999999999</v>
      </c>
      <c r="AJ5" s="4">
        <v>6236.7669999999998</v>
      </c>
      <c r="AK5" s="4">
        <v>6249.2060000000001</v>
      </c>
      <c r="AL5" s="4">
        <v>6261.6610000000001</v>
      </c>
      <c r="AM5" s="4">
        <v>6274.1459999999997</v>
      </c>
      <c r="AN5" s="4">
        <v>6286.6559999999999</v>
      </c>
      <c r="AO5" s="4">
        <v>6299.1930000000002</v>
      </c>
      <c r="AP5" s="4">
        <v>6311.7780000000002</v>
      </c>
      <c r="AQ5" s="4">
        <v>6324.4440000000004</v>
      </c>
      <c r="AR5" s="4">
        <v>6337.2</v>
      </c>
      <c r="AS5" s="4">
        <v>6350.0569999999998</v>
      </c>
      <c r="AT5" s="4">
        <v>6363.0240000000003</v>
      </c>
      <c r="AU5" s="4">
        <v>6376.1049999999996</v>
      </c>
      <c r="AV5" s="4">
        <v>6389.3010000000004</v>
      </c>
      <c r="AW5" s="4">
        <v>6402.616</v>
      </c>
      <c r="AX5" s="4">
        <v>6416.0450000000001</v>
      </c>
      <c r="AY5" s="4">
        <v>6429.585</v>
      </c>
      <c r="AZ5" s="4">
        <v>6443.2269999999999</v>
      </c>
      <c r="BA5" s="4">
        <v>6456.9579999999996</v>
      </c>
      <c r="BB5" s="4">
        <v>6470.7640000000001</v>
      </c>
      <c r="BC5" s="4">
        <v>6484.6270000000004</v>
      </c>
      <c r="BD5" s="4">
        <v>6498.5259999999998</v>
      </c>
      <c r="BE5" s="4">
        <v>6512.4409999999998</v>
      </c>
      <c r="BF5" s="4">
        <v>6526.3469999999998</v>
      </c>
      <c r="BG5" s="4">
        <v>6540.2089999999998</v>
      </c>
      <c r="BH5" s="4">
        <v>6553.991</v>
      </c>
      <c r="BI5" s="4">
        <v>6567.652</v>
      </c>
      <c r="BJ5" s="4">
        <v>6581.1710000000003</v>
      </c>
      <c r="BK5" s="4">
        <v>6594.5159999999996</v>
      </c>
      <c r="BL5" s="4">
        <v>6607.634</v>
      </c>
      <c r="BM5" s="4">
        <v>6620.4660000000003</v>
      </c>
      <c r="BN5" s="4">
        <v>6632.9639999999999</v>
      </c>
      <c r="BO5" s="4">
        <v>6645.0990000000002</v>
      </c>
      <c r="BP5" s="4">
        <v>6656.8559999999998</v>
      </c>
      <c r="BQ5" s="4">
        <v>6668.2190000000001</v>
      </c>
      <c r="BR5" s="4">
        <v>6679.174</v>
      </c>
      <c r="BS5" s="4">
        <v>6689.7139999999999</v>
      </c>
      <c r="BT5" s="4">
        <v>6699.8370000000004</v>
      </c>
      <c r="BU5" s="4">
        <v>6709.5410000000002</v>
      </c>
      <c r="BV5" s="4">
        <v>6718.8190000000004</v>
      </c>
      <c r="BW5" s="4">
        <v>6727.6610000000001</v>
      </c>
      <c r="BX5" s="4">
        <v>6736.0749999999998</v>
      </c>
      <c r="BY5" s="4">
        <v>6744.0630000000001</v>
      </c>
      <c r="BZ5" s="4">
        <v>6751.6549999999997</v>
      </c>
      <c r="CA5" s="4">
        <v>6758.9189999999999</v>
      </c>
      <c r="CB5" s="4">
        <v>6765.94</v>
      </c>
      <c r="CC5" s="4">
        <v>6772.7870000000003</v>
      </c>
      <c r="CD5" s="4">
        <v>6779.5050000000001</v>
      </c>
      <c r="CE5" s="4">
        <v>6786.1180000000004</v>
      </c>
      <c r="CF5" s="4">
        <v>6792.634</v>
      </c>
      <c r="CG5" s="4">
        <v>6799.0640000000003</v>
      </c>
      <c r="CH5" s="4">
        <v>6805.4219999999996</v>
      </c>
      <c r="CI5" s="4">
        <v>6811.7380000000003</v>
      </c>
      <c r="CJ5" s="4">
        <v>6818.0550000000003</v>
      </c>
      <c r="CK5" s="4">
        <v>6824.4290000000001</v>
      </c>
      <c r="CL5" s="4">
        <v>6830.9309999999996</v>
      </c>
      <c r="CM5" s="4">
        <v>6837.6450000000004</v>
      </c>
    </row>
    <row r="6" spans="1:91" x14ac:dyDescent="0.25">
      <c r="A6" s="1">
        <v>150</v>
      </c>
      <c r="B6" s="2" t="s">
        <v>12</v>
      </c>
      <c r="C6" s="169" t="s">
        <v>174</v>
      </c>
      <c r="E6" s="3">
        <v>233</v>
      </c>
      <c r="F6" s="4">
        <v>1312.558</v>
      </c>
      <c r="G6" s="4">
        <v>1309.104</v>
      </c>
      <c r="H6" s="4">
        <v>1305.7550000000001</v>
      </c>
      <c r="I6" s="4">
        <v>1302.4010000000001</v>
      </c>
      <c r="J6" s="4">
        <v>1298.904</v>
      </c>
      <c r="K6" s="4">
        <v>1295.1590000000001</v>
      </c>
      <c r="L6" s="4">
        <v>1291.127</v>
      </c>
      <c r="M6" s="4">
        <v>1286.8140000000001</v>
      </c>
      <c r="N6" s="4">
        <v>1282.2190000000001</v>
      </c>
      <c r="O6" s="4">
        <v>1277.356</v>
      </c>
      <c r="P6" s="4">
        <v>1272.241</v>
      </c>
      <c r="Q6" s="4">
        <v>1266.873</v>
      </c>
      <c r="R6" s="4">
        <v>1261.2570000000001</v>
      </c>
      <c r="S6" s="4">
        <v>1255.43</v>
      </c>
      <c r="T6" s="4">
        <v>1249.44</v>
      </c>
      <c r="U6" s="4">
        <v>1243.3309999999999</v>
      </c>
      <c r="V6" s="4">
        <v>1237.1179999999999</v>
      </c>
      <c r="W6" s="4">
        <v>1230.8230000000001</v>
      </c>
      <c r="X6" s="4">
        <v>1224.501</v>
      </c>
      <c r="Y6" s="4">
        <v>1218.221</v>
      </c>
      <c r="Z6" s="4">
        <v>1212.0340000000001</v>
      </c>
      <c r="AA6" s="4">
        <v>1205.9639999999999</v>
      </c>
      <c r="AB6" s="4">
        <v>1200.0129999999999</v>
      </c>
      <c r="AC6" s="4">
        <v>1194.18</v>
      </c>
      <c r="AD6" s="4">
        <v>1188.4549999999999</v>
      </c>
      <c r="AE6" s="4">
        <v>1182.8240000000001</v>
      </c>
      <c r="AF6" s="4">
        <v>1177.2929999999999</v>
      </c>
      <c r="AG6" s="4">
        <v>1171.8589999999999</v>
      </c>
      <c r="AH6" s="4">
        <v>1166.4960000000001</v>
      </c>
      <c r="AI6" s="4">
        <v>1161.1679999999999</v>
      </c>
      <c r="AJ6" s="4">
        <v>1155.8499999999999</v>
      </c>
      <c r="AK6" s="4">
        <v>1150.528</v>
      </c>
      <c r="AL6" s="4">
        <v>1145.1980000000001</v>
      </c>
      <c r="AM6" s="4">
        <v>1139.8489999999999</v>
      </c>
      <c r="AN6" s="4">
        <v>1134.4680000000001</v>
      </c>
      <c r="AO6" s="4">
        <v>1129.047</v>
      </c>
      <c r="AP6" s="4">
        <v>1123.578</v>
      </c>
      <c r="AQ6" s="4">
        <v>1118.058</v>
      </c>
      <c r="AR6" s="4">
        <v>1112.4849999999999</v>
      </c>
      <c r="AS6" s="4">
        <v>1106.8579999999999</v>
      </c>
      <c r="AT6" s="4">
        <v>1101.1780000000001</v>
      </c>
      <c r="AU6" s="4">
        <v>1095.4469999999999</v>
      </c>
      <c r="AV6" s="4">
        <v>1089.6679999999999</v>
      </c>
      <c r="AW6" s="4">
        <v>1083.8440000000001</v>
      </c>
      <c r="AX6" s="4">
        <v>1077.9739999999999</v>
      </c>
      <c r="AY6" s="4">
        <v>1072.068</v>
      </c>
      <c r="AZ6" s="4">
        <v>1066.1289999999999</v>
      </c>
      <c r="BA6" s="4">
        <v>1060.1669999999999</v>
      </c>
      <c r="BB6" s="4">
        <v>1054.201</v>
      </c>
      <c r="BC6" s="4">
        <v>1048.2539999999999</v>
      </c>
      <c r="BD6" s="4">
        <v>1042.348</v>
      </c>
      <c r="BE6" s="4">
        <v>1036.4929999999999</v>
      </c>
      <c r="BF6" s="4">
        <v>1030.6990000000001</v>
      </c>
      <c r="BG6" s="4">
        <v>1024.9780000000001</v>
      </c>
      <c r="BH6" s="4">
        <v>1019.342</v>
      </c>
      <c r="BI6" s="4">
        <v>1013.803</v>
      </c>
      <c r="BJ6" s="4">
        <v>1008.3680000000001</v>
      </c>
      <c r="BK6" s="4">
        <v>1003.048</v>
      </c>
      <c r="BL6" s="4">
        <v>997.85400000000004</v>
      </c>
      <c r="BM6" s="4">
        <v>992.80499999999995</v>
      </c>
      <c r="BN6" s="4">
        <v>987.91</v>
      </c>
      <c r="BO6" s="4">
        <v>983.178</v>
      </c>
      <c r="BP6" s="4">
        <v>978.60699999999997</v>
      </c>
      <c r="BQ6" s="4">
        <v>974.19399999999996</v>
      </c>
      <c r="BR6" s="4">
        <v>969.92499999999995</v>
      </c>
      <c r="BS6" s="4">
        <v>965.79300000000001</v>
      </c>
      <c r="BT6" s="4">
        <v>961.79300000000001</v>
      </c>
      <c r="BU6" s="4">
        <v>957.92499999999995</v>
      </c>
      <c r="BV6" s="4">
        <v>954.19399999999996</v>
      </c>
      <c r="BW6" s="4">
        <v>950.60299999999995</v>
      </c>
      <c r="BX6" s="4">
        <v>947.15499999999997</v>
      </c>
      <c r="BY6" s="4">
        <v>943.84500000000003</v>
      </c>
      <c r="BZ6" s="4">
        <v>940.66200000000003</v>
      </c>
      <c r="CA6" s="4">
        <v>937.58900000000006</v>
      </c>
      <c r="CB6" s="4">
        <v>934.60699999999997</v>
      </c>
      <c r="CC6" s="4">
        <v>931.697</v>
      </c>
      <c r="CD6" s="4">
        <v>928.84500000000003</v>
      </c>
      <c r="CE6" s="4">
        <v>926.03899999999999</v>
      </c>
      <c r="CF6" s="4">
        <v>923.27</v>
      </c>
      <c r="CG6" s="4">
        <v>920.52599999999995</v>
      </c>
      <c r="CH6" s="4">
        <v>917.79600000000005</v>
      </c>
      <c r="CI6" s="4">
        <v>915.06299999999999</v>
      </c>
      <c r="CJ6" s="4">
        <v>912.30899999999997</v>
      </c>
      <c r="CK6" s="4">
        <v>909.51099999999997</v>
      </c>
      <c r="CL6" s="4">
        <v>906.64499999999998</v>
      </c>
      <c r="CM6" s="4">
        <v>903.68200000000002</v>
      </c>
    </row>
    <row r="9" spans="1:91" x14ac:dyDescent="0.25">
      <c r="B9" s="99" t="s">
        <v>13</v>
      </c>
      <c r="C9" s="98" t="s">
        <v>148</v>
      </c>
      <c r="D9" s="120" t="s">
        <v>151</v>
      </c>
      <c r="E9" s="127" t="s">
        <v>154</v>
      </c>
      <c r="F9" s="171" t="s">
        <v>174</v>
      </c>
    </row>
    <row r="10" spans="1:91" x14ac:dyDescent="0.25">
      <c r="A10" s="8" t="s">
        <v>19</v>
      </c>
      <c r="B10" s="4">
        <v>48228.703999999998</v>
      </c>
      <c r="C10" s="4">
        <v>6639.1229999999996</v>
      </c>
      <c r="D10" s="4">
        <v>5503.4570000000003</v>
      </c>
      <c r="E10" s="4">
        <v>5669.0810000000001</v>
      </c>
      <c r="F10" s="4">
        <v>1312.558</v>
      </c>
    </row>
    <row r="11" spans="1:91" x14ac:dyDescent="0.25">
      <c r="A11" s="8" t="s">
        <v>20</v>
      </c>
      <c r="B11" s="4">
        <v>48654.392</v>
      </c>
      <c r="C11" s="4">
        <v>6725.43</v>
      </c>
      <c r="D11" s="4">
        <v>5523.9040000000005</v>
      </c>
      <c r="E11" s="4">
        <v>5690.75</v>
      </c>
      <c r="F11" s="4">
        <v>1309.104</v>
      </c>
    </row>
    <row r="12" spans="1:91" x14ac:dyDescent="0.25">
      <c r="A12" s="8" t="s">
        <v>21</v>
      </c>
      <c r="B12" s="4">
        <v>49067.981</v>
      </c>
      <c r="C12" s="4">
        <v>6811.5829999999996</v>
      </c>
      <c r="D12" s="4">
        <v>5541.2740000000003</v>
      </c>
      <c r="E12" s="4">
        <v>5711.8370000000004</v>
      </c>
      <c r="F12" s="4">
        <v>1305.7550000000001</v>
      </c>
    </row>
    <row r="13" spans="1:91" x14ac:dyDescent="0.25">
      <c r="A13" s="8" t="s">
        <v>22</v>
      </c>
      <c r="B13" s="4">
        <v>49468.824999999997</v>
      </c>
      <c r="C13" s="4">
        <v>6897.3850000000002</v>
      </c>
      <c r="D13" s="4">
        <v>5556.4390000000003</v>
      </c>
      <c r="E13" s="4">
        <v>5732.7129999999997</v>
      </c>
      <c r="F13" s="4">
        <v>1302.4010000000001</v>
      </c>
    </row>
    <row r="14" spans="1:91" x14ac:dyDescent="0.25">
      <c r="A14" s="8" t="s">
        <v>23</v>
      </c>
      <c r="B14" s="4">
        <v>49856.03</v>
      </c>
      <c r="C14" s="4">
        <v>6982.6210000000001</v>
      </c>
      <c r="D14" s="4">
        <v>5570.723</v>
      </c>
      <c r="E14" s="4">
        <v>5753.8639999999996</v>
      </c>
      <c r="F14" s="4">
        <v>1298.904</v>
      </c>
    </row>
    <row r="15" spans="1:91" x14ac:dyDescent="0.25">
      <c r="A15" s="8" t="s">
        <v>24</v>
      </c>
      <c r="B15" s="4">
        <v>50228.928</v>
      </c>
      <c r="C15" s="4">
        <v>7067.0969999999998</v>
      </c>
      <c r="D15" s="4">
        <v>5585.0910000000003</v>
      </c>
      <c r="E15" s="4">
        <v>5775.634</v>
      </c>
      <c r="F15" s="4">
        <v>1295.1590000000001</v>
      </c>
    </row>
    <row r="16" spans="1:91" x14ac:dyDescent="0.25">
      <c r="A16" s="8" t="s">
        <v>25</v>
      </c>
      <c r="B16" s="4">
        <v>50587.279000000002</v>
      </c>
      <c r="C16" s="4">
        <v>7150.6890000000003</v>
      </c>
      <c r="D16" s="4">
        <v>5599.7749999999996</v>
      </c>
      <c r="E16" s="4">
        <v>5798.1450000000004</v>
      </c>
      <c r="F16" s="4">
        <v>1291.127</v>
      </c>
    </row>
    <row r="17" spans="1:6" x14ac:dyDescent="0.25">
      <c r="A17" s="8" t="s">
        <v>26</v>
      </c>
      <c r="B17" s="4">
        <v>50931.182000000001</v>
      </c>
      <c r="C17" s="4">
        <v>7233.29</v>
      </c>
      <c r="D17" s="4">
        <v>5614.4610000000002</v>
      </c>
      <c r="E17" s="4">
        <v>5821.2730000000001</v>
      </c>
      <c r="F17" s="4">
        <v>1286.8140000000001</v>
      </c>
    </row>
    <row r="18" spans="1:6" x14ac:dyDescent="0.25">
      <c r="A18" s="8" t="s">
        <v>27</v>
      </c>
      <c r="B18" s="4">
        <v>51260.735999999997</v>
      </c>
      <c r="C18" s="4">
        <v>7314.7579999999998</v>
      </c>
      <c r="D18" s="4">
        <v>5628.9160000000002</v>
      </c>
      <c r="E18" s="4">
        <v>5844.8040000000001</v>
      </c>
      <c r="F18" s="4">
        <v>1282.2190000000001</v>
      </c>
    </row>
    <row r="19" spans="1:6" x14ac:dyDescent="0.25">
      <c r="A19" s="8" t="s">
        <v>28</v>
      </c>
      <c r="B19" s="4">
        <v>51576.171999999999</v>
      </c>
      <c r="C19" s="4">
        <v>7394.9520000000002</v>
      </c>
      <c r="D19" s="4">
        <v>5642.7250000000004</v>
      </c>
      <c r="E19" s="4">
        <v>5868.4049999999997</v>
      </c>
      <c r="F19" s="4">
        <v>1277.356</v>
      </c>
    </row>
    <row r="20" spans="1:6" x14ac:dyDescent="0.25">
      <c r="A20" s="8" t="s">
        <v>29</v>
      </c>
      <c r="B20" s="4">
        <v>51877.661</v>
      </c>
      <c r="C20" s="4">
        <v>7473.7560000000003</v>
      </c>
      <c r="D20" s="4">
        <v>5655.5780000000004</v>
      </c>
      <c r="E20" s="4">
        <v>5891.8040000000001</v>
      </c>
      <c r="F20" s="4">
        <v>1272.241</v>
      </c>
    </row>
    <row r="21" spans="1:6" x14ac:dyDescent="0.25">
      <c r="A21" s="8" t="s">
        <v>30</v>
      </c>
      <c r="B21" s="4">
        <v>52165.16</v>
      </c>
      <c r="C21" s="4">
        <v>7551.0550000000003</v>
      </c>
      <c r="D21" s="4">
        <v>5667.4679999999998</v>
      </c>
      <c r="E21" s="4">
        <v>5914.9449999999997</v>
      </c>
      <c r="F21" s="4">
        <v>1266.873</v>
      </c>
    </row>
    <row r="22" spans="1:6" x14ac:dyDescent="0.25">
      <c r="A22" s="8" t="s">
        <v>31</v>
      </c>
      <c r="B22" s="4">
        <v>52438.578000000001</v>
      </c>
      <c r="C22" s="4">
        <v>7626.7839999999997</v>
      </c>
      <c r="D22" s="4">
        <v>5678.5010000000002</v>
      </c>
      <c r="E22" s="4">
        <v>5937.826</v>
      </c>
      <c r="F22" s="4">
        <v>1261.2570000000001</v>
      </c>
    </row>
    <row r="23" spans="1:6" x14ac:dyDescent="0.25">
      <c r="A23" s="8" t="s">
        <v>32</v>
      </c>
      <c r="B23" s="4">
        <v>52697.991999999998</v>
      </c>
      <c r="C23" s="4">
        <v>7700.9369999999999</v>
      </c>
      <c r="D23" s="4">
        <v>5688.6130000000003</v>
      </c>
      <c r="E23" s="4">
        <v>5960.2870000000003</v>
      </c>
      <c r="F23" s="4">
        <v>1255.43</v>
      </c>
    </row>
    <row r="24" spans="1:6" x14ac:dyDescent="0.25">
      <c r="A24" s="8" t="s">
        <v>33</v>
      </c>
      <c r="B24" s="4">
        <v>52943.502</v>
      </c>
      <c r="C24" s="4">
        <v>7773.54</v>
      </c>
      <c r="D24" s="4">
        <v>5697.7340000000004</v>
      </c>
      <c r="E24" s="4">
        <v>5982.152</v>
      </c>
      <c r="F24" s="4">
        <v>1249.44</v>
      </c>
    </row>
    <row r="25" spans="1:6" x14ac:dyDescent="0.25">
      <c r="A25" s="8" t="s">
        <v>34</v>
      </c>
      <c r="B25" s="4">
        <v>53175.178999999996</v>
      </c>
      <c r="C25" s="4">
        <v>7844.598</v>
      </c>
      <c r="D25" s="4">
        <v>5705.8220000000001</v>
      </c>
      <c r="E25" s="4">
        <v>6003.2839999999997</v>
      </c>
      <c r="F25" s="4">
        <v>1243.3309999999999</v>
      </c>
    </row>
    <row r="26" spans="1:6" x14ac:dyDescent="0.25">
      <c r="A26" s="8" t="s">
        <v>35</v>
      </c>
      <c r="B26" s="4">
        <v>53393.093999999997</v>
      </c>
      <c r="C26" s="4">
        <v>7914.0950000000003</v>
      </c>
      <c r="D26" s="4">
        <v>5712.875</v>
      </c>
      <c r="E26" s="4">
        <v>6023.6090000000004</v>
      </c>
      <c r="F26" s="4">
        <v>1237.1179999999999</v>
      </c>
    </row>
    <row r="27" spans="1:6" x14ac:dyDescent="0.25">
      <c r="A27" s="8" t="s">
        <v>36</v>
      </c>
      <c r="B27" s="4">
        <v>53597.222000000002</v>
      </c>
      <c r="C27" s="4">
        <v>7981.9589999999998</v>
      </c>
      <c r="D27" s="4">
        <v>5718.9250000000002</v>
      </c>
      <c r="E27" s="4">
        <v>6043.1130000000003</v>
      </c>
      <c r="F27" s="4">
        <v>1230.8230000000001</v>
      </c>
    </row>
    <row r="28" spans="1:6" x14ac:dyDescent="0.25">
      <c r="A28" s="8" t="s">
        <v>37</v>
      </c>
      <c r="B28" s="4">
        <v>53787.406999999999</v>
      </c>
      <c r="C28" s="4">
        <v>8048.0919999999996</v>
      </c>
      <c r="D28" s="4">
        <v>5724.009</v>
      </c>
      <c r="E28" s="4">
        <v>6061.8040000000001</v>
      </c>
      <c r="F28" s="4">
        <v>1224.501</v>
      </c>
    </row>
    <row r="29" spans="1:6" x14ac:dyDescent="0.25">
      <c r="A29" s="8" t="s">
        <v>38</v>
      </c>
      <c r="B29" s="4">
        <v>53963.438000000002</v>
      </c>
      <c r="C29" s="4">
        <v>8112.3689999999997</v>
      </c>
      <c r="D29" s="4">
        <v>5728.1890000000003</v>
      </c>
      <c r="E29" s="4">
        <v>6079.7219999999998</v>
      </c>
      <c r="F29" s="4">
        <v>1218.221</v>
      </c>
    </row>
    <row r="30" spans="1:6" x14ac:dyDescent="0.25">
      <c r="A30" s="8" t="s">
        <v>39</v>
      </c>
      <c r="B30" s="4">
        <v>54125.18</v>
      </c>
      <c r="C30" s="4">
        <v>8174.7039999999997</v>
      </c>
      <c r="D30" s="4">
        <v>5731.5360000000001</v>
      </c>
      <c r="E30" s="4">
        <v>6096.9049999999997</v>
      </c>
      <c r="F30" s="4">
        <v>1212.0340000000001</v>
      </c>
    </row>
    <row r="31" spans="1:6" x14ac:dyDescent="0.25">
      <c r="A31" s="8" t="s">
        <v>40</v>
      </c>
      <c r="B31" s="4">
        <v>54272.633999999998</v>
      </c>
      <c r="C31" s="4">
        <v>8235.0499999999993</v>
      </c>
      <c r="D31" s="4">
        <v>5734.0889999999999</v>
      </c>
      <c r="E31" s="4">
        <v>6113.3620000000001</v>
      </c>
      <c r="F31" s="4">
        <v>1205.9639999999999</v>
      </c>
    </row>
    <row r="32" spans="1:6" x14ac:dyDescent="0.25">
      <c r="A32" s="8" t="s">
        <v>41</v>
      </c>
      <c r="B32" s="4">
        <v>54405.927000000003</v>
      </c>
      <c r="C32" s="4">
        <v>8293.43</v>
      </c>
      <c r="D32" s="4">
        <v>5735.9229999999998</v>
      </c>
      <c r="E32" s="4">
        <v>6129.1030000000001</v>
      </c>
      <c r="F32" s="4">
        <v>1200.0129999999999</v>
      </c>
    </row>
    <row r="33" spans="1:6" x14ac:dyDescent="0.25">
      <c r="A33" s="8" t="s">
        <v>42</v>
      </c>
      <c r="B33" s="4">
        <v>54525.222000000002</v>
      </c>
      <c r="C33" s="4">
        <v>8349.9169999999995</v>
      </c>
      <c r="D33" s="4">
        <v>5737.2030000000004</v>
      </c>
      <c r="E33" s="4">
        <v>6144.1809999999996</v>
      </c>
      <c r="F33" s="4">
        <v>1194.18</v>
      </c>
    </row>
    <row r="34" spans="1:6" x14ac:dyDescent="0.25">
      <c r="A34" s="8" t="s">
        <v>43</v>
      </c>
      <c r="B34" s="4">
        <v>54630.735000000001</v>
      </c>
      <c r="C34" s="4">
        <v>8404.6239999999998</v>
      </c>
      <c r="D34" s="4">
        <v>5738.1260000000002</v>
      </c>
      <c r="E34" s="4">
        <v>6158.6639999999998</v>
      </c>
      <c r="F34" s="4">
        <v>1188.4549999999999</v>
      </c>
    </row>
    <row r="35" spans="1:6" x14ac:dyDescent="0.25">
      <c r="A35" s="8" t="s">
        <v>44</v>
      </c>
      <c r="B35" s="4">
        <v>54722.67</v>
      </c>
      <c r="C35" s="4">
        <v>8457.6370000000006</v>
      </c>
      <c r="D35" s="4">
        <v>5738.8630000000003</v>
      </c>
      <c r="E35" s="4">
        <v>6172.62</v>
      </c>
      <c r="F35" s="4">
        <v>1182.8240000000001</v>
      </c>
    </row>
    <row r="36" spans="1:6" x14ac:dyDescent="0.25">
      <c r="A36" s="8" t="s">
        <v>45</v>
      </c>
      <c r="B36" s="4">
        <v>54801.25</v>
      </c>
      <c r="C36" s="4">
        <v>8508.9760000000006</v>
      </c>
      <c r="D36" s="4">
        <v>5739.491</v>
      </c>
      <c r="E36" s="4">
        <v>6186.0829999999996</v>
      </c>
      <c r="F36" s="4">
        <v>1177.2929999999999</v>
      </c>
    </row>
    <row r="37" spans="1:6" x14ac:dyDescent="0.25">
      <c r="A37" s="8" t="s">
        <v>46</v>
      </c>
      <c r="B37" s="4">
        <v>54866.601999999999</v>
      </c>
      <c r="C37" s="4">
        <v>8558.6260000000002</v>
      </c>
      <c r="D37" s="4">
        <v>5740.0630000000001</v>
      </c>
      <c r="E37" s="4">
        <v>6199.1049999999996</v>
      </c>
      <c r="F37" s="4">
        <v>1171.8589999999999</v>
      </c>
    </row>
    <row r="38" spans="1:6" x14ac:dyDescent="0.25">
      <c r="A38" s="8" t="s">
        <v>47</v>
      </c>
      <c r="B38" s="4">
        <v>54918.728999999999</v>
      </c>
      <c r="C38" s="4">
        <v>8606.5889999999999</v>
      </c>
      <c r="D38" s="4">
        <v>5740.6840000000002</v>
      </c>
      <c r="E38" s="4">
        <v>6211.8040000000001</v>
      </c>
      <c r="F38" s="4">
        <v>1166.4960000000001</v>
      </c>
    </row>
    <row r="39" spans="1:6" x14ac:dyDescent="0.25">
      <c r="A39" s="8" t="s">
        <v>48</v>
      </c>
      <c r="B39" s="4">
        <v>54957.587</v>
      </c>
      <c r="C39" s="4">
        <v>8652.8649999999998</v>
      </c>
      <c r="D39" s="4">
        <v>5741.4579999999996</v>
      </c>
      <c r="E39" s="4">
        <v>6224.3209999999999</v>
      </c>
      <c r="F39" s="4">
        <v>1161.1679999999999</v>
      </c>
    </row>
    <row r="40" spans="1:6" x14ac:dyDescent="0.25">
      <c r="A40" s="8" t="s">
        <v>49</v>
      </c>
      <c r="B40" s="4">
        <v>54983.25</v>
      </c>
      <c r="C40" s="4">
        <v>8697.4480000000003</v>
      </c>
      <c r="D40" s="4">
        <v>5742.4660000000003</v>
      </c>
      <c r="E40" s="4">
        <v>6236.7669999999998</v>
      </c>
      <c r="F40" s="4">
        <v>1155.8499999999999</v>
      </c>
    </row>
    <row r="41" spans="1:6" x14ac:dyDescent="0.25">
      <c r="A41" s="8" t="s">
        <v>50</v>
      </c>
      <c r="B41" s="4">
        <v>54995.832999999999</v>
      </c>
      <c r="C41" s="4">
        <v>8740.3369999999995</v>
      </c>
      <c r="D41" s="4">
        <v>5743.7730000000001</v>
      </c>
      <c r="E41" s="4">
        <v>6249.2060000000001</v>
      </c>
      <c r="F41" s="4">
        <v>1150.528</v>
      </c>
    </row>
    <row r="42" spans="1:6" x14ac:dyDescent="0.25">
      <c r="A42" s="8" t="s">
        <v>51</v>
      </c>
      <c r="B42" s="4">
        <v>54995.741999999998</v>
      </c>
      <c r="C42" s="4">
        <v>8781.5400000000009</v>
      </c>
      <c r="D42" s="4">
        <v>5745.3969999999999</v>
      </c>
      <c r="E42" s="4">
        <v>6261.6610000000001</v>
      </c>
      <c r="F42" s="4">
        <v>1145.1980000000001</v>
      </c>
    </row>
    <row r="43" spans="1:6" x14ac:dyDescent="0.25">
      <c r="A43" s="8" t="s">
        <v>52</v>
      </c>
      <c r="B43" s="4">
        <v>54983.703999999998</v>
      </c>
      <c r="C43" s="4">
        <v>8821.0849999999991</v>
      </c>
      <c r="D43" s="4">
        <v>5747.3109999999997</v>
      </c>
      <c r="E43" s="4">
        <v>6274.1459999999997</v>
      </c>
      <c r="F43" s="4">
        <v>1139.8489999999999</v>
      </c>
    </row>
    <row r="44" spans="1:6" x14ac:dyDescent="0.25">
      <c r="A44" s="8" t="s">
        <v>53</v>
      </c>
      <c r="B44" s="4">
        <v>54960.635000000002</v>
      </c>
      <c r="C44" s="4">
        <v>8859.0079999999998</v>
      </c>
      <c r="D44" s="4">
        <v>5749.4530000000004</v>
      </c>
      <c r="E44" s="4">
        <v>6286.6559999999999</v>
      </c>
      <c r="F44" s="4">
        <v>1134.4680000000001</v>
      </c>
    </row>
    <row r="45" spans="1:6" x14ac:dyDescent="0.25">
      <c r="A45" s="8" t="s">
        <v>54</v>
      </c>
      <c r="B45" s="4">
        <v>54927.275000000001</v>
      </c>
      <c r="C45" s="4">
        <v>8895.3240000000005</v>
      </c>
      <c r="D45" s="4">
        <v>5751.7790000000005</v>
      </c>
      <c r="E45" s="4">
        <v>6299.1930000000002</v>
      </c>
      <c r="F45" s="4">
        <v>1129.047</v>
      </c>
    </row>
    <row r="46" spans="1:6" x14ac:dyDescent="0.25">
      <c r="A46" s="8" t="s">
        <v>55</v>
      </c>
      <c r="B46" s="4">
        <v>54884.091</v>
      </c>
      <c r="C46" s="4">
        <v>8930.0380000000005</v>
      </c>
      <c r="D46" s="4">
        <v>5754.2889999999998</v>
      </c>
      <c r="E46" s="4">
        <v>6311.7780000000002</v>
      </c>
      <c r="F46" s="4">
        <v>1123.578</v>
      </c>
    </row>
    <row r="47" spans="1:6" x14ac:dyDescent="0.25">
      <c r="A47" s="8" t="s">
        <v>56</v>
      </c>
      <c r="B47" s="4">
        <v>54831.241000000002</v>
      </c>
      <c r="C47" s="4">
        <v>8963.1170000000002</v>
      </c>
      <c r="D47" s="4">
        <v>5756.9960000000001</v>
      </c>
      <c r="E47" s="4">
        <v>6324.4440000000004</v>
      </c>
      <c r="F47" s="4">
        <v>1118.058</v>
      </c>
    </row>
    <row r="48" spans="1:6" x14ac:dyDescent="0.25">
      <c r="A48" s="8" t="s">
        <v>57</v>
      </c>
      <c r="B48" s="4">
        <v>54768.78</v>
      </c>
      <c r="C48" s="4">
        <v>8994.5049999999992</v>
      </c>
      <c r="D48" s="4">
        <v>5759.8810000000003</v>
      </c>
      <c r="E48" s="4">
        <v>6337.2</v>
      </c>
      <c r="F48" s="4">
        <v>1112.4849999999999</v>
      </c>
    </row>
    <row r="49" spans="1:6" x14ac:dyDescent="0.25">
      <c r="A49" s="8" t="s">
        <v>58</v>
      </c>
      <c r="B49" s="4">
        <v>54696.625999999997</v>
      </c>
      <c r="C49" s="4">
        <v>9024.1229999999996</v>
      </c>
      <c r="D49" s="4">
        <v>5762.9160000000002</v>
      </c>
      <c r="E49" s="4">
        <v>6350.0569999999998</v>
      </c>
      <c r="F49" s="4">
        <v>1106.8579999999999</v>
      </c>
    </row>
    <row r="50" spans="1:6" x14ac:dyDescent="0.25">
      <c r="A50" s="8" t="s">
        <v>59</v>
      </c>
      <c r="B50" s="4">
        <v>54614.807999999997</v>
      </c>
      <c r="C50" s="4">
        <v>9051.9030000000002</v>
      </c>
      <c r="D50" s="4">
        <v>5766.0789999999997</v>
      </c>
      <c r="E50" s="4">
        <v>6363.0240000000003</v>
      </c>
      <c r="F50" s="4">
        <v>1101.1780000000001</v>
      </c>
    </row>
    <row r="51" spans="1:6" x14ac:dyDescent="0.25">
      <c r="A51" s="8" t="s">
        <v>60</v>
      </c>
      <c r="B51" s="4">
        <v>54523.504999999997</v>
      </c>
      <c r="C51" s="4">
        <v>9077.8209999999999</v>
      </c>
      <c r="D51" s="4">
        <v>5769.3530000000001</v>
      </c>
      <c r="E51" s="4">
        <v>6376.1049999999996</v>
      </c>
      <c r="F51" s="4">
        <v>1095.4469999999999</v>
      </c>
    </row>
    <row r="52" spans="1:6" x14ac:dyDescent="0.25">
      <c r="A52" s="8" t="s">
        <v>61</v>
      </c>
      <c r="B52" s="4">
        <v>54423.125999999997</v>
      </c>
      <c r="C52" s="4">
        <v>9101.8629999999994</v>
      </c>
      <c r="D52" s="4">
        <v>5772.7309999999998</v>
      </c>
      <c r="E52" s="4">
        <v>6389.3010000000004</v>
      </c>
      <c r="F52" s="4">
        <v>1089.6679999999999</v>
      </c>
    </row>
    <row r="53" spans="1:6" x14ac:dyDescent="0.25">
      <c r="A53" s="8" t="s">
        <v>62</v>
      </c>
      <c r="B53" s="4">
        <v>54314.197</v>
      </c>
      <c r="C53" s="4">
        <v>9123.9930000000004</v>
      </c>
      <c r="D53" s="4">
        <v>5776.2079999999996</v>
      </c>
      <c r="E53" s="4">
        <v>6402.616</v>
      </c>
      <c r="F53" s="4">
        <v>1083.8440000000001</v>
      </c>
    </row>
    <row r="54" spans="1:6" x14ac:dyDescent="0.25">
      <c r="A54" s="8" t="s">
        <v>63</v>
      </c>
      <c r="B54" s="4">
        <v>54197.353000000003</v>
      </c>
      <c r="C54" s="4">
        <v>9144.1790000000001</v>
      </c>
      <c r="D54" s="4">
        <v>5779.7860000000001</v>
      </c>
      <c r="E54" s="4">
        <v>6416.0450000000001</v>
      </c>
      <c r="F54" s="4">
        <v>1077.9739999999999</v>
      </c>
    </row>
    <row r="55" spans="1:6" x14ac:dyDescent="0.25">
      <c r="A55" s="8" t="s">
        <v>64</v>
      </c>
      <c r="B55" s="4">
        <v>54073.103000000003</v>
      </c>
      <c r="C55" s="4">
        <v>9162.3889999999992</v>
      </c>
      <c r="D55" s="4">
        <v>5783.4589999999998</v>
      </c>
      <c r="E55" s="4">
        <v>6429.585</v>
      </c>
      <c r="F55" s="4">
        <v>1072.068</v>
      </c>
    </row>
    <row r="56" spans="1:6" x14ac:dyDescent="0.25">
      <c r="A56" s="8" t="s">
        <v>65</v>
      </c>
      <c r="B56" s="4">
        <v>53941.779000000002</v>
      </c>
      <c r="C56" s="4">
        <v>9178.6129999999994</v>
      </c>
      <c r="D56" s="4">
        <v>5787.2129999999997</v>
      </c>
      <c r="E56" s="4">
        <v>6443.2269999999999</v>
      </c>
      <c r="F56" s="4">
        <v>1066.1289999999999</v>
      </c>
    </row>
    <row r="57" spans="1:6" x14ac:dyDescent="0.25">
      <c r="A57" s="8" t="s">
        <v>66</v>
      </c>
      <c r="B57" s="4">
        <v>53803.495000000003</v>
      </c>
      <c r="C57" s="4">
        <v>9192.8420000000006</v>
      </c>
      <c r="D57" s="4">
        <v>5791.0280000000002</v>
      </c>
      <c r="E57" s="4">
        <v>6456.9579999999996</v>
      </c>
      <c r="F57" s="4">
        <v>1060.1669999999999</v>
      </c>
    </row>
    <row r="58" spans="1:6" x14ac:dyDescent="0.25">
      <c r="A58" s="8" t="s">
        <v>67</v>
      </c>
      <c r="B58" s="4">
        <v>53658.267</v>
      </c>
      <c r="C58" s="4">
        <v>9205.0519999999997</v>
      </c>
      <c r="D58" s="4">
        <v>5794.8879999999999</v>
      </c>
      <c r="E58" s="4">
        <v>6470.7640000000001</v>
      </c>
      <c r="F58" s="4">
        <v>1054.201</v>
      </c>
    </row>
    <row r="59" spans="1:6" x14ac:dyDescent="0.25">
      <c r="A59" s="8" t="s">
        <v>68</v>
      </c>
      <c r="B59" s="4">
        <v>53506.000999999997</v>
      </c>
      <c r="C59" s="4">
        <v>9215.2250000000004</v>
      </c>
      <c r="D59" s="4">
        <v>5798.7719999999999</v>
      </c>
      <c r="E59" s="4">
        <v>6484.6270000000004</v>
      </c>
      <c r="F59" s="4">
        <v>1048.2539999999999</v>
      </c>
    </row>
    <row r="60" spans="1:6" x14ac:dyDescent="0.25">
      <c r="A60" s="8" t="s">
        <v>69</v>
      </c>
      <c r="B60" s="4">
        <v>53346.678</v>
      </c>
      <c r="C60" s="4">
        <v>9223.35</v>
      </c>
      <c r="D60" s="4">
        <v>5802.66</v>
      </c>
      <c r="E60" s="4">
        <v>6498.5259999999998</v>
      </c>
      <c r="F60" s="4">
        <v>1042.348</v>
      </c>
    </row>
    <row r="61" spans="1:6" x14ac:dyDescent="0.25">
      <c r="A61" s="8" t="s">
        <v>70</v>
      </c>
      <c r="B61" s="4">
        <v>53180.451999999997</v>
      </c>
      <c r="C61" s="4">
        <v>9229.4369999999999</v>
      </c>
      <c r="D61" s="4">
        <v>5806.5349999999999</v>
      </c>
      <c r="E61" s="4">
        <v>6512.4409999999998</v>
      </c>
      <c r="F61" s="4">
        <v>1036.4929999999999</v>
      </c>
    </row>
    <row r="62" spans="1:6" x14ac:dyDescent="0.25">
      <c r="A62" s="8" t="s">
        <v>71</v>
      </c>
      <c r="B62" s="4">
        <v>53007.576000000001</v>
      </c>
      <c r="C62" s="4">
        <v>9233.5110000000004</v>
      </c>
      <c r="D62" s="4">
        <v>5810.3739999999998</v>
      </c>
      <c r="E62" s="4">
        <v>6526.3469999999998</v>
      </c>
      <c r="F62" s="4">
        <v>1030.6990000000001</v>
      </c>
    </row>
    <row r="63" spans="1:6" x14ac:dyDescent="0.25">
      <c r="A63" s="8" t="s">
        <v>72</v>
      </c>
      <c r="B63" s="4">
        <v>52828.243000000002</v>
      </c>
      <c r="C63" s="4">
        <v>9235.6010000000006</v>
      </c>
      <c r="D63" s="4">
        <v>5814.1409999999996</v>
      </c>
      <c r="E63" s="4">
        <v>6540.2089999999998</v>
      </c>
      <c r="F63" s="4">
        <v>1024.9780000000001</v>
      </c>
    </row>
    <row r="64" spans="1:6" x14ac:dyDescent="0.25">
      <c r="A64" s="8" t="s">
        <v>73</v>
      </c>
      <c r="B64" s="4">
        <v>52642.665000000001</v>
      </c>
      <c r="C64" s="4">
        <v>9235.75</v>
      </c>
      <c r="D64" s="4">
        <v>5817.799</v>
      </c>
      <c r="E64" s="4">
        <v>6553.991</v>
      </c>
      <c r="F64" s="4">
        <v>1019.342</v>
      </c>
    </row>
    <row r="65" spans="1:6" x14ac:dyDescent="0.25">
      <c r="A65" s="8" t="s">
        <v>74</v>
      </c>
      <c r="B65" s="4">
        <v>52451.05</v>
      </c>
      <c r="C65" s="4">
        <v>9234.0020000000004</v>
      </c>
      <c r="D65" s="4">
        <v>5821.31</v>
      </c>
      <c r="E65" s="4">
        <v>6567.652</v>
      </c>
      <c r="F65" s="4">
        <v>1013.803</v>
      </c>
    </row>
    <row r="66" spans="1:6" x14ac:dyDescent="0.25">
      <c r="A66" s="8" t="s">
        <v>75</v>
      </c>
      <c r="B66" s="4">
        <v>52253.661999999997</v>
      </c>
      <c r="C66" s="4">
        <v>9230.4030000000002</v>
      </c>
      <c r="D66" s="4">
        <v>5824.6670000000004</v>
      </c>
      <c r="E66" s="4">
        <v>6581.1710000000003</v>
      </c>
      <c r="F66" s="4">
        <v>1008.3680000000001</v>
      </c>
    </row>
    <row r="67" spans="1:6" x14ac:dyDescent="0.25">
      <c r="A67" s="8" t="s">
        <v>76</v>
      </c>
      <c r="B67" s="4">
        <v>52050.697</v>
      </c>
      <c r="C67" s="4">
        <v>9225.0040000000008</v>
      </c>
      <c r="D67" s="4">
        <v>5827.857</v>
      </c>
      <c r="E67" s="4">
        <v>6594.5159999999996</v>
      </c>
      <c r="F67" s="4">
        <v>1003.048</v>
      </c>
    </row>
    <row r="68" spans="1:6" x14ac:dyDescent="0.25">
      <c r="A68" s="8" t="s">
        <v>77</v>
      </c>
      <c r="B68" s="4">
        <v>51842.216</v>
      </c>
      <c r="C68" s="4">
        <v>9217.8729999999996</v>
      </c>
      <c r="D68" s="4">
        <v>5830.8310000000001</v>
      </c>
      <c r="E68" s="4">
        <v>6607.634</v>
      </c>
      <c r="F68" s="4">
        <v>997.85400000000004</v>
      </c>
    </row>
    <row r="69" spans="1:6" x14ac:dyDescent="0.25">
      <c r="A69" s="8" t="s">
        <v>78</v>
      </c>
      <c r="B69" s="4">
        <v>51628.235999999997</v>
      </c>
      <c r="C69" s="4">
        <v>9209.0830000000005</v>
      </c>
      <c r="D69" s="4">
        <v>5833.5330000000004</v>
      </c>
      <c r="E69" s="4">
        <v>6620.4660000000003</v>
      </c>
      <c r="F69" s="4">
        <v>992.80499999999995</v>
      </c>
    </row>
    <row r="70" spans="1:6" x14ac:dyDescent="0.25">
      <c r="A70" s="8" t="s">
        <v>79</v>
      </c>
      <c r="B70" s="4">
        <v>51408.873</v>
      </c>
      <c r="C70" s="4">
        <v>9198.7129999999997</v>
      </c>
      <c r="D70" s="4">
        <v>5835.9260000000004</v>
      </c>
      <c r="E70" s="4">
        <v>6632.9639999999999</v>
      </c>
      <c r="F70" s="4">
        <v>987.91</v>
      </c>
    </row>
    <row r="71" spans="1:6" x14ac:dyDescent="0.25">
      <c r="A71" s="8" t="s">
        <v>80</v>
      </c>
      <c r="B71" s="4">
        <v>51184.328999999998</v>
      </c>
      <c r="C71" s="4">
        <v>9186.8279999999995</v>
      </c>
      <c r="D71" s="4">
        <v>5837.9859999999999</v>
      </c>
      <c r="E71" s="4">
        <v>6645.0990000000002</v>
      </c>
      <c r="F71" s="4">
        <v>983.178</v>
      </c>
    </row>
    <row r="72" spans="1:6" x14ac:dyDescent="0.25">
      <c r="A72" s="8" t="s">
        <v>81</v>
      </c>
      <c r="B72" s="4">
        <v>50955.006999999998</v>
      </c>
      <c r="C72" s="4">
        <v>9173.5069999999996</v>
      </c>
      <c r="D72" s="4">
        <v>5839.7349999999997</v>
      </c>
      <c r="E72" s="4">
        <v>6656.8559999999998</v>
      </c>
      <c r="F72" s="4">
        <v>978.60699999999997</v>
      </c>
    </row>
    <row r="73" spans="1:6" x14ac:dyDescent="0.25">
      <c r="A73" s="8" t="s">
        <v>82</v>
      </c>
      <c r="B73" s="4">
        <v>50721.497000000003</v>
      </c>
      <c r="C73" s="4">
        <v>9158.8619999999992</v>
      </c>
      <c r="D73" s="4">
        <v>5841.2449999999999</v>
      </c>
      <c r="E73" s="4">
        <v>6668.2190000000001</v>
      </c>
      <c r="F73" s="4">
        <v>974.19399999999996</v>
      </c>
    </row>
    <row r="74" spans="1:6" x14ac:dyDescent="0.25">
      <c r="A74" s="8" t="s">
        <v>83</v>
      </c>
      <c r="B74" s="4">
        <v>50484.506000000001</v>
      </c>
      <c r="C74" s="4">
        <v>9143.0220000000008</v>
      </c>
      <c r="D74" s="4">
        <v>5842.62</v>
      </c>
      <c r="E74" s="4">
        <v>6679.174</v>
      </c>
      <c r="F74" s="4">
        <v>969.92499999999995</v>
      </c>
    </row>
    <row r="75" spans="1:6" x14ac:dyDescent="0.25">
      <c r="A75" s="8" t="s">
        <v>84</v>
      </c>
      <c r="B75" s="4">
        <v>50244.654999999999</v>
      </c>
      <c r="C75" s="4">
        <v>9126.098</v>
      </c>
      <c r="D75" s="4">
        <v>5843.9319999999998</v>
      </c>
      <c r="E75" s="4">
        <v>6689.7139999999999</v>
      </c>
      <c r="F75" s="4">
        <v>965.79300000000001</v>
      </c>
    </row>
    <row r="76" spans="1:6" x14ac:dyDescent="0.25">
      <c r="A76" s="8" t="s">
        <v>85</v>
      </c>
      <c r="B76" s="4">
        <v>50002.311000000002</v>
      </c>
      <c r="C76" s="4">
        <v>9108.1749999999993</v>
      </c>
      <c r="D76" s="4">
        <v>5845.2120000000004</v>
      </c>
      <c r="E76" s="4">
        <v>6699.8370000000004</v>
      </c>
      <c r="F76" s="4">
        <v>961.79300000000001</v>
      </c>
    </row>
    <row r="77" spans="1:6" x14ac:dyDescent="0.25">
      <c r="A77" s="8" t="s">
        <v>86</v>
      </c>
      <c r="B77" s="4">
        <v>49757.750999999997</v>
      </c>
      <c r="C77" s="4">
        <v>9089.3250000000007</v>
      </c>
      <c r="D77" s="4">
        <v>5846.4470000000001</v>
      </c>
      <c r="E77" s="4">
        <v>6709.5410000000002</v>
      </c>
      <c r="F77" s="4">
        <v>957.92499999999995</v>
      </c>
    </row>
    <row r="78" spans="1:6" x14ac:dyDescent="0.25">
      <c r="A78" s="8" t="s">
        <v>87</v>
      </c>
      <c r="B78" s="4">
        <v>49511.400999999998</v>
      </c>
      <c r="C78" s="4">
        <v>9069.6419999999998</v>
      </c>
      <c r="D78" s="4">
        <v>5847.625</v>
      </c>
      <c r="E78" s="4">
        <v>6718.8190000000004</v>
      </c>
      <c r="F78" s="4">
        <v>954.19399999999996</v>
      </c>
    </row>
    <row r="79" spans="1:6" x14ac:dyDescent="0.25">
      <c r="A79" s="8" t="s">
        <v>88</v>
      </c>
      <c r="B79" s="4">
        <v>49263.678999999996</v>
      </c>
      <c r="C79" s="4">
        <v>9049.2150000000001</v>
      </c>
      <c r="D79" s="4">
        <v>5848.7160000000003</v>
      </c>
      <c r="E79" s="4">
        <v>6727.6610000000001</v>
      </c>
      <c r="F79" s="4">
        <v>950.60299999999995</v>
      </c>
    </row>
    <row r="80" spans="1:6" x14ac:dyDescent="0.25">
      <c r="A80" s="8" t="s">
        <v>89</v>
      </c>
      <c r="B80" s="4">
        <v>49014.957000000002</v>
      </c>
      <c r="C80" s="4">
        <v>9028.1309999999994</v>
      </c>
      <c r="D80" s="4">
        <v>5849.7039999999997</v>
      </c>
      <c r="E80" s="4">
        <v>6736.0749999999998</v>
      </c>
      <c r="F80" s="4">
        <v>947.15499999999997</v>
      </c>
    </row>
    <row r="81" spans="1:6" x14ac:dyDescent="0.25">
      <c r="A81" s="8" t="s">
        <v>90</v>
      </c>
      <c r="B81" s="4">
        <v>48765.616999999998</v>
      </c>
      <c r="C81" s="4">
        <v>9006.4519999999993</v>
      </c>
      <c r="D81" s="4">
        <v>5850.5889999999999</v>
      </c>
      <c r="E81" s="4">
        <v>6744.0630000000001</v>
      </c>
      <c r="F81" s="4">
        <v>943.84500000000003</v>
      </c>
    </row>
    <row r="82" spans="1:6" x14ac:dyDescent="0.25">
      <c r="A82" s="8" t="s">
        <v>91</v>
      </c>
      <c r="B82" s="4">
        <v>48515.921999999999</v>
      </c>
      <c r="C82" s="4">
        <v>8984.2360000000008</v>
      </c>
      <c r="D82" s="4">
        <v>5851.3909999999996</v>
      </c>
      <c r="E82" s="4">
        <v>6751.6549999999997</v>
      </c>
      <c r="F82" s="4">
        <v>940.66200000000003</v>
      </c>
    </row>
    <row r="83" spans="1:6" x14ac:dyDescent="0.25">
      <c r="A83" s="8" t="s">
        <v>92</v>
      </c>
      <c r="B83" s="4">
        <v>48265.974999999999</v>
      </c>
      <c r="C83" s="4">
        <v>8961.5580000000009</v>
      </c>
      <c r="D83" s="4">
        <v>5852.1180000000004</v>
      </c>
      <c r="E83" s="4">
        <v>6758.9189999999999</v>
      </c>
      <c r="F83" s="4">
        <v>937.58900000000006</v>
      </c>
    </row>
    <row r="84" spans="1:6" x14ac:dyDescent="0.25">
      <c r="A84" s="8" t="s">
        <v>93</v>
      </c>
      <c r="B84" s="4">
        <v>48015.790999999997</v>
      </c>
      <c r="C84" s="4">
        <v>8938.4889999999996</v>
      </c>
      <c r="D84" s="4">
        <v>5852.7870000000003</v>
      </c>
      <c r="E84" s="4">
        <v>6765.94</v>
      </c>
      <c r="F84" s="4">
        <v>934.60699999999997</v>
      </c>
    </row>
    <row r="85" spans="1:6" x14ac:dyDescent="0.25">
      <c r="A85" s="8" t="s">
        <v>94</v>
      </c>
      <c r="B85" s="4">
        <v>47765.46</v>
      </c>
      <c r="C85" s="4">
        <v>8915.0859999999993</v>
      </c>
      <c r="D85" s="4">
        <v>5853.4110000000001</v>
      </c>
      <c r="E85" s="4">
        <v>6772.7870000000003</v>
      </c>
      <c r="F85" s="4">
        <v>931.697</v>
      </c>
    </row>
    <row r="86" spans="1:6" x14ac:dyDescent="0.25">
      <c r="A86" s="8" t="s">
        <v>95</v>
      </c>
      <c r="B86" s="4">
        <v>47515.195</v>
      </c>
      <c r="C86" s="4">
        <v>8891.3870000000006</v>
      </c>
      <c r="D86" s="4">
        <v>5853.9930000000004</v>
      </c>
      <c r="E86" s="4">
        <v>6779.5050000000001</v>
      </c>
      <c r="F86" s="4">
        <v>928.84500000000003</v>
      </c>
    </row>
    <row r="87" spans="1:6" x14ac:dyDescent="0.25">
      <c r="A87" s="8" t="s">
        <v>96</v>
      </c>
      <c r="B87" s="4">
        <v>47265.315000000002</v>
      </c>
      <c r="C87" s="4">
        <v>8867.4130000000005</v>
      </c>
      <c r="D87" s="4">
        <v>5854.5330000000004</v>
      </c>
      <c r="E87" s="4">
        <v>6786.1180000000004</v>
      </c>
      <c r="F87" s="4">
        <v>926.03899999999999</v>
      </c>
    </row>
    <row r="88" spans="1:6" x14ac:dyDescent="0.25">
      <c r="A88" s="8" t="s">
        <v>97</v>
      </c>
      <c r="B88" s="4">
        <v>47016.201000000001</v>
      </c>
      <c r="C88" s="4">
        <v>8843.1689999999999</v>
      </c>
      <c r="D88" s="4">
        <v>5855.027</v>
      </c>
      <c r="E88" s="4">
        <v>6792.634</v>
      </c>
      <c r="F88" s="4">
        <v>923.27</v>
      </c>
    </row>
    <row r="89" spans="1:6" x14ac:dyDescent="0.25">
      <c r="A89" s="8" t="s">
        <v>98</v>
      </c>
      <c r="B89" s="4">
        <v>46768.248</v>
      </c>
      <c r="C89" s="4">
        <v>8818.6540000000005</v>
      </c>
      <c r="D89" s="4">
        <v>5855.4679999999998</v>
      </c>
      <c r="E89" s="4">
        <v>6799.0640000000003</v>
      </c>
      <c r="F89" s="4">
        <v>920.52599999999995</v>
      </c>
    </row>
    <row r="90" spans="1:6" x14ac:dyDescent="0.25">
      <c r="A90" s="8" t="s">
        <v>99</v>
      </c>
      <c r="B90" s="4">
        <v>46521.811000000002</v>
      </c>
      <c r="C90" s="4">
        <v>8793.86</v>
      </c>
      <c r="D90" s="4">
        <v>5855.8519999999999</v>
      </c>
      <c r="E90" s="4">
        <v>6805.4219999999996</v>
      </c>
      <c r="F90" s="4">
        <v>917.79600000000005</v>
      </c>
    </row>
    <row r="91" spans="1:6" x14ac:dyDescent="0.25">
      <c r="A91" s="8" t="s">
        <v>100</v>
      </c>
      <c r="B91" s="4">
        <v>46277.199000000001</v>
      </c>
      <c r="C91" s="4">
        <v>8768.7759999999998</v>
      </c>
      <c r="D91" s="4">
        <v>5856.1769999999997</v>
      </c>
      <c r="E91" s="4">
        <v>6811.7380000000003</v>
      </c>
      <c r="F91" s="4">
        <v>915.06299999999999</v>
      </c>
    </row>
    <row r="92" spans="1:6" x14ac:dyDescent="0.25">
      <c r="A92" s="8" t="s">
        <v>101</v>
      </c>
      <c r="B92" s="4">
        <v>46034.658000000003</v>
      </c>
      <c r="C92" s="4">
        <v>8743.3870000000006</v>
      </c>
      <c r="D92" s="4">
        <v>5856.4409999999998</v>
      </c>
      <c r="E92" s="4">
        <v>6818.0550000000003</v>
      </c>
      <c r="F92" s="4">
        <v>912.30899999999997</v>
      </c>
    </row>
    <row r="93" spans="1:6" x14ac:dyDescent="0.25">
      <c r="A93" s="8" t="s">
        <v>102</v>
      </c>
      <c r="B93" s="4">
        <v>45794.373</v>
      </c>
      <c r="C93" s="4">
        <v>8717.6759999999995</v>
      </c>
      <c r="D93" s="4">
        <v>5856.6490000000003</v>
      </c>
      <c r="E93" s="4">
        <v>6824.4290000000001</v>
      </c>
      <c r="F93" s="4">
        <v>909.51099999999997</v>
      </c>
    </row>
    <row r="94" spans="1:6" x14ac:dyDescent="0.25">
      <c r="A94" s="8" t="s">
        <v>103</v>
      </c>
      <c r="B94" s="4">
        <v>45556.463000000003</v>
      </c>
      <c r="C94" s="4">
        <v>8691.6229999999996</v>
      </c>
      <c r="D94" s="4">
        <v>5856.8040000000001</v>
      </c>
      <c r="E94" s="4">
        <v>6830.9309999999996</v>
      </c>
      <c r="F94" s="4">
        <v>906.64499999999998</v>
      </c>
    </row>
    <row r="95" spans="1:6" x14ac:dyDescent="0.25">
      <c r="A95" s="8" t="s">
        <v>104</v>
      </c>
      <c r="B95" s="4">
        <v>45320.995999999999</v>
      </c>
      <c r="C95" s="4">
        <v>8665.2060000000001</v>
      </c>
      <c r="D95" s="4">
        <v>5856.9139999999998</v>
      </c>
      <c r="E95" s="4">
        <v>6837.6450000000004</v>
      </c>
      <c r="F95" s="4">
        <v>903.68200000000002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52"/>
  <sheetViews>
    <sheetView topLeftCell="A205" workbookViewId="0">
      <selection activeCell="A222" sqref="A222:F232"/>
    </sheetView>
  </sheetViews>
  <sheetFormatPr defaultRowHeight="15" x14ac:dyDescent="0.25"/>
  <cols>
    <col min="1" max="1" width="18" style="35" customWidth="1"/>
    <col min="2" max="2" width="11.28515625" style="40" customWidth="1"/>
    <col min="3" max="3" width="10.85546875" style="40" customWidth="1"/>
  </cols>
  <sheetData>
    <row r="1" spans="1:6" x14ac:dyDescent="0.25">
      <c r="A1" s="31" t="s">
        <v>115</v>
      </c>
      <c r="B1" s="36"/>
      <c r="C1" s="36"/>
    </row>
    <row r="2" spans="1:6" x14ac:dyDescent="0.25">
      <c r="A2" s="31" t="s">
        <v>116</v>
      </c>
      <c r="B2" s="36"/>
      <c r="C2" s="36"/>
    </row>
    <row r="3" spans="1:6" x14ac:dyDescent="0.25">
      <c r="A3" s="32"/>
      <c r="B3" s="108" t="s">
        <v>117</v>
      </c>
      <c r="C3" s="109" t="s">
        <v>148</v>
      </c>
      <c r="D3" s="120" t="s">
        <v>152</v>
      </c>
      <c r="E3" s="126" t="s">
        <v>153</v>
      </c>
      <c r="F3" s="171" t="s">
        <v>175</v>
      </c>
    </row>
    <row r="4" spans="1:6" x14ac:dyDescent="0.25">
      <c r="A4" s="33">
        <v>1</v>
      </c>
      <c r="B4" s="37"/>
      <c r="C4" s="37" t="s">
        <v>150</v>
      </c>
      <c r="F4" t="s">
        <v>150</v>
      </c>
    </row>
    <row r="5" spans="1:6" x14ac:dyDescent="0.25">
      <c r="A5" s="33">
        <v>730</v>
      </c>
      <c r="B5" s="37"/>
      <c r="C5" s="37" t="s">
        <v>150</v>
      </c>
      <c r="F5" t="s">
        <v>150</v>
      </c>
    </row>
    <row r="6" spans="1:6" x14ac:dyDescent="0.25">
      <c r="A6" s="34">
        <v>1000</v>
      </c>
      <c r="B6" s="37"/>
      <c r="C6" s="37" t="s">
        <v>150</v>
      </c>
      <c r="F6" t="s">
        <v>150</v>
      </c>
    </row>
    <row r="7" spans="1:6" x14ac:dyDescent="0.25">
      <c r="A7" s="34">
        <v>1150</v>
      </c>
      <c r="B7" s="37"/>
      <c r="C7" s="37"/>
    </row>
    <row r="8" spans="1:6" x14ac:dyDescent="0.25">
      <c r="A8" s="34">
        <v>1280</v>
      </c>
      <c r="B8" s="37"/>
      <c r="C8" s="37"/>
    </row>
    <row r="9" spans="1:6" x14ac:dyDescent="0.25">
      <c r="A9" s="33">
        <v>1300</v>
      </c>
      <c r="B9" s="37"/>
      <c r="C9" s="37" t="s">
        <v>150</v>
      </c>
      <c r="F9" t="s">
        <v>150</v>
      </c>
    </row>
    <row r="10" spans="1:6" x14ac:dyDescent="0.25">
      <c r="A10" s="33">
        <v>1348</v>
      </c>
      <c r="B10" s="37"/>
      <c r="C10" s="37"/>
    </row>
    <row r="11" spans="1:6" x14ac:dyDescent="0.25">
      <c r="A11" s="33">
        <v>1400</v>
      </c>
      <c r="B11" s="37"/>
      <c r="C11" s="37"/>
    </row>
    <row r="12" spans="1:6" x14ac:dyDescent="0.25">
      <c r="A12" s="33">
        <v>1450</v>
      </c>
      <c r="B12" s="37"/>
      <c r="C12" s="37"/>
    </row>
    <row r="13" spans="1:6" x14ac:dyDescent="0.25">
      <c r="A13" s="33">
        <v>1500</v>
      </c>
      <c r="B13" s="38"/>
      <c r="C13" s="38" t="s">
        <v>150</v>
      </c>
      <c r="F13" t="s">
        <v>150</v>
      </c>
    </row>
    <row r="14" spans="1:6" x14ac:dyDescent="0.25">
      <c r="A14" s="33">
        <v>1550</v>
      </c>
      <c r="B14" s="38"/>
      <c r="C14" s="38"/>
    </row>
    <row r="15" spans="1:6" x14ac:dyDescent="0.25">
      <c r="A15" s="33">
        <v>1570</v>
      </c>
      <c r="B15" s="38"/>
      <c r="C15" s="38" t="s">
        <v>150</v>
      </c>
      <c r="F15" t="s">
        <v>150</v>
      </c>
    </row>
    <row r="16" spans="1:6" x14ac:dyDescent="0.25">
      <c r="A16" s="33">
        <v>1600</v>
      </c>
      <c r="B16" s="38"/>
      <c r="C16" s="38" t="s">
        <v>150</v>
      </c>
      <c r="F16" t="s">
        <v>150</v>
      </c>
    </row>
    <row r="17" spans="1:6" x14ac:dyDescent="0.25">
      <c r="A17" s="33">
        <v>1650</v>
      </c>
      <c r="B17" s="38"/>
      <c r="C17" s="38" t="s">
        <v>150</v>
      </c>
      <c r="F17" t="s">
        <v>150</v>
      </c>
    </row>
    <row r="18" spans="1:6" x14ac:dyDescent="0.25">
      <c r="A18" s="33">
        <v>1700</v>
      </c>
      <c r="B18" s="38"/>
      <c r="C18" s="38" t="s">
        <v>150</v>
      </c>
      <c r="F18" t="s">
        <v>150</v>
      </c>
    </row>
    <row r="19" spans="1:6" x14ac:dyDescent="0.25">
      <c r="A19" s="33">
        <v>1720</v>
      </c>
      <c r="B19" s="38"/>
      <c r="C19" s="38"/>
    </row>
    <row r="20" spans="1:6" x14ac:dyDescent="0.25">
      <c r="A20" s="33">
        <v>1750</v>
      </c>
      <c r="B20" s="38"/>
      <c r="C20" s="38" t="s">
        <v>150</v>
      </c>
      <c r="E20" t="s">
        <v>150</v>
      </c>
      <c r="F20" t="s">
        <v>150</v>
      </c>
    </row>
    <row r="21" spans="1:6" x14ac:dyDescent="0.25">
      <c r="A21" s="33">
        <v>1775</v>
      </c>
      <c r="B21" s="38"/>
      <c r="C21" s="38"/>
    </row>
    <row r="22" spans="1:6" x14ac:dyDescent="0.25">
      <c r="A22" s="33">
        <v>1800</v>
      </c>
      <c r="B22" s="38">
        <v>590.71881076018155</v>
      </c>
      <c r="C22" s="38"/>
    </row>
    <row r="23" spans="1:6" x14ac:dyDescent="0.25">
      <c r="A23" s="33">
        <v>1801</v>
      </c>
      <c r="B23" s="38"/>
      <c r="C23" s="38"/>
    </row>
    <row r="24" spans="1:6" x14ac:dyDescent="0.25">
      <c r="A24" s="33">
        <v>1802</v>
      </c>
      <c r="B24" s="38"/>
      <c r="C24" s="38"/>
    </row>
    <row r="25" spans="1:6" x14ac:dyDescent="0.25">
      <c r="A25" s="33">
        <v>1803</v>
      </c>
      <c r="B25" s="38"/>
      <c r="C25" s="38"/>
    </row>
    <row r="26" spans="1:6" x14ac:dyDescent="0.25">
      <c r="A26" s="33">
        <v>1804</v>
      </c>
      <c r="B26" s="39"/>
      <c r="C26" s="38"/>
    </row>
    <row r="27" spans="1:6" x14ac:dyDescent="0.25">
      <c r="A27" s="33">
        <v>1805</v>
      </c>
      <c r="B27" s="38"/>
      <c r="C27" s="38"/>
    </row>
    <row r="28" spans="1:6" x14ac:dyDescent="0.25">
      <c r="A28" s="33">
        <v>1806</v>
      </c>
      <c r="B28" s="38"/>
      <c r="C28" s="38"/>
    </row>
    <row r="29" spans="1:6" x14ac:dyDescent="0.25">
      <c r="A29" s="33">
        <v>1807</v>
      </c>
      <c r="B29" s="38"/>
      <c r="C29" s="38"/>
    </row>
    <row r="30" spans="1:6" x14ac:dyDescent="0.25">
      <c r="A30" s="33">
        <v>1808</v>
      </c>
      <c r="B30" s="38"/>
      <c r="C30" s="38"/>
    </row>
    <row r="31" spans="1:6" x14ac:dyDescent="0.25">
      <c r="A31" s="33">
        <v>1809</v>
      </c>
      <c r="B31" s="38"/>
      <c r="C31" s="38"/>
    </row>
    <row r="32" spans="1:6" x14ac:dyDescent="0.25">
      <c r="A32" s="33">
        <v>1810</v>
      </c>
      <c r="B32" s="38"/>
      <c r="C32" s="38"/>
    </row>
    <row r="33" spans="1:6" x14ac:dyDescent="0.25">
      <c r="A33" s="33">
        <v>1811</v>
      </c>
      <c r="B33" s="38"/>
      <c r="C33" s="38"/>
    </row>
    <row r="34" spans="1:6" x14ac:dyDescent="0.25">
      <c r="A34" s="33">
        <v>1812</v>
      </c>
      <c r="B34" s="38"/>
      <c r="C34" s="38"/>
    </row>
    <row r="35" spans="1:6" x14ac:dyDescent="0.25">
      <c r="A35" s="33">
        <v>1813</v>
      </c>
      <c r="B35" s="38"/>
      <c r="C35" s="38"/>
    </row>
    <row r="36" spans="1:6" x14ac:dyDescent="0.25">
      <c r="A36" s="33">
        <v>1814</v>
      </c>
      <c r="B36" s="38"/>
      <c r="C36" s="38"/>
    </row>
    <row r="37" spans="1:6" x14ac:dyDescent="0.25">
      <c r="A37" s="33">
        <v>1815</v>
      </c>
      <c r="B37" s="38"/>
      <c r="C37" s="38"/>
    </row>
    <row r="38" spans="1:6" x14ac:dyDescent="0.25">
      <c r="A38" s="33">
        <v>1816</v>
      </c>
      <c r="B38" s="38"/>
      <c r="C38" s="38"/>
    </row>
    <row r="39" spans="1:6" x14ac:dyDescent="0.25">
      <c r="A39" s="33">
        <v>1817</v>
      </c>
      <c r="B39" s="38"/>
      <c r="C39" s="38"/>
    </row>
    <row r="40" spans="1:6" x14ac:dyDescent="0.25">
      <c r="A40" s="33">
        <v>1818</v>
      </c>
      <c r="B40" s="38"/>
      <c r="C40" s="38"/>
    </row>
    <row r="41" spans="1:6" x14ac:dyDescent="0.25">
      <c r="A41" s="33">
        <v>1819</v>
      </c>
      <c r="B41" s="38"/>
      <c r="C41" s="38"/>
    </row>
    <row r="42" spans="1:6" x14ac:dyDescent="0.25">
      <c r="A42" s="33">
        <v>1820</v>
      </c>
      <c r="B42" s="38">
        <v>533.02652775600245</v>
      </c>
      <c r="C42" s="38" t="s">
        <v>150</v>
      </c>
      <c r="D42">
        <v>781.00940975192464</v>
      </c>
      <c r="E42">
        <v>1273.5930735930735</v>
      </c>
      <c r="F42" t="s">
        <v>150</v>
      </c>
    </row>
    <row r="43" spans="1:6" x14ac:dyDescent="0.25">
      <c r="A43" s="33">
        <v>1821</v>
      </c>
      <c r="B43" s="38"/>
      <c r="C43" s="38" t="s">
        <v>150</v>
      </c>
      <c r="D43" t="s">
        <v>150</v>
      </c>
      <c r="E43">
        <v>1320.4798628963154</v>
      </c>
      <c r="F43" t="s">
        <v>150</v>
      </c>
    </row>
    <row r="44" spans="1:6" x14ac:dyDescent="0.25">
      <c r="A44" s="33">
        <v>1822</v>
      </c>
      <c r="B44" s="38"/>
      <c r="C44" s="38" t="s">
        <v>150</v>
      </c>
      <c r="D44" t="s">
        <v>150</v>
      </c>
      <c r="E44">
        <v>1326.5479219677693</v>
      </c>
      <c r="F44" t="s">
        <v>150</v>
      </c>
    </row>
    <row r="45" spans="1:6" x14ac:dyDescent="0.25">
      <c r="A45" s="33">
        <v>1823</v>
      </c>
      <c r="B45" s="38"/>
      <c r="C45" s="38" t="s">
        <v>150</v>
      </c>
      <c r="D45" t="s">
        <v>150</v>
      </c>
      <c r="E45">
        <v>1307.6923076923076</v>
      </c>
      <c r="F45" t="s">
        <v>150</v>
      </c>
    </row>
    <row r="46" spans="1:6" x14ac:dyDescent="0.25">
      <c r="A46" s="33">
        <v>1824</v>
      </c>
      <c r="B46" s="38"/>
      <c r="C46" s="38" t="s">
        <v>150</v>
      </c>
      <c r="D46" t="s">
        <v>150</v>
      </c>
      <c r="E46">
        <v>1328.1121187139324</v>
      </c>
      <c r="F46" t="s">
        <v>150</v>
      </c>
    </row>
    <row r="47" spans="1:6" x14ac:dyDescent="0.25">
      <c r="A47" s="33">
        <v>1825</v>
      </c>
      <c r="B47" s="38"/>
      <c r="C47" s="38" t="s">
        <v>150</v>
      </c>
      <c r="D47" t="s">
        <v>150</v>
      </c>
      <c r="E47">
        <v>1321.6612377850163</v>
      </c>
      <c r="F47" t="s">
        <v>150</v>
      </c>
    </row>
    <row r="48" spans="1:6" x14ac:dyDescent="0.25">
      <c r="A48" s="33">
        <v>1826</v>
      </c>
      <c r="B48" s="38"/>
      <c r="C48" s="38" t="s">
        <v>150</v>
      </c>
      <c r="D48" t="s">
        <v>150</v>
      </c>
      <c r="E48">
        <v>1324.2156074014481</v>
      </c>
      <c r="F48" t="s">
        <v>150</v>
      </c>
    </row>
    <row r="49" spans="1:6" x14ac:dyDescent="0.25">
      <c r="A49" s="33">
        <v>1827</v>
      </c>
      <c r="B49" s="38"/>
      <c r="C49" s="38" t="s">
        <v>150</v>
      </c>
      <c r="D49" t="s">
        <v>150</v>
      </c>
      <c r="E49">
        <v>1349.0039840637451</v>
      </c>
      <c r="F49" t="s">
        <v>150</v>
      </c>
    </row>
    <row r="50" spans="1:6" x14ac:dyDescent="0.25">
      <c r="A50" s="33">
        <v>1828</v>
      </c>
      <c r="B50" s="38"/>
      <c r="C50" s="38" t="s">
        <v>150</v>
      </c>
      <c r="D50" t="s">
        <v>150</v>
      </c>
      <c r="E50">
        <v>1356.5217391304348</v>
      </c>
      <c r="F50" t="s">
        <v>150</v>
      </c>
    </row>
    <row r="51" spans="1:6" x14ac:dyDescent="0.25">
      <c r="A51" s="33">
        <v>1829</v>
      </c>
      <c r="B51" s="38"/>
      <c r="C51" s="38" t="s">
        <v>150</v>
      </c>
      <c r="D51" t="s">
        <v>150</v>
      </c>
      <c r="E51">
        <v>1323.6220472440946</v>
      </c>
      <c r="F51" t="s">
        <v>150</v>
      </c>
    </row>
    <row r="52" spans="1:6" x14ac:dyDescent="0.25">
      <c r="A52" s="33">
        <v>1830</v>
      </c>
      <c r="B52" s="38"/>
      <c r="C52" s="38" t="s">
        <v>150</v>
      </c>
      <c r="D52" t="s">
        <v>150</v>
      </c>
      <c r="E52">
        <v>1329.9293008641007</v>
      </c>
      <c r="F52" t="s">
        <v>150</v>
      </c>
    </row>
    <row r="53" spans="1:6" x14ac:dyDescent="0.25">
      <c r="A53" s="33">
        <v>1831</v>
      </c>
      <c r="B53" s="38"/>
      <c r="C53" s="38" t="s">
        <v>150</v>
      </c>
      <c r="D53" t="s">
        <v>150</v>
      </c>
      <c r="E53">
        <v>1318.4313725490194</v>
      </c>
      <c r="F53" t="s">
        <v>150</v>
      </c>
    </row>
    <row r="54" spans="1:6" x14ac:dyDescent="0.25">
      <c r="A54" s="33">
        <v>1832</v>
      </c>
      <c r="B54" s="38"/>
      <c r="C54" s="38" t="s">
        <v>150</v>
      </c>
      <c r="D54" t="s">
        <v>150</v>
      </c>
      <c r="E54">
        <v>1354.2319749216301</v>
      </c>
      <c r="F54" t="s">
        <v>150</v>
      </c>
    </row>
    <row r="55" spans="1:6" x14ac:dyDescent="0.25">
      <c r="A55" s="33">
        <v>1833</v>
      </c>
      <c r="B55" s="38"/>
      <c r="C55" s="38" t="s">
        <v>150</v>
      </c>
      <c r="D55" t="s">
        <v>150</v>
      </c>
      <c r="E55">
        <v>1336.4485981308412</v>
      </c>
      <c r="F55" t="s">
        <v>150</v>
      </c>
    </row>
    <row r="56" spans="1:6" x14ac:dyDescent="0.25">
      <c r="A56" s="33">
        <v>1834</v>
      </c>
      <c r="B56" s="38"/>
      <c r="C56" s="38" t="s">
        <v>150</v>
      </c>
      <c r="D56" t="s">
        <v>150</v>
      </c>
      <c r="E56">
        <v>1396.9111969111968</v>
      </c>
      <c r="F56" t="s">
        <v>150</v>
      </c>
    </row>
    <row r="57" spans="1:6" x14ac:dyDescent="0.25">
      <c r="A57" s="33">
        <v>1835</v>
      </c>
      <c r="B57" s="38"/>
      <c r="C57" s="38" t="s">
        <v>150</v>
      </c>
      <c r="D57" t="s">
        <v>150</v>
      </c>
      <c r="E57">
        <v>1376.7228177641655</v>
      </c>
      <c r="F57" t="s">
        <v>150</v>
      </c>
    </row>
    <row r="58" spans="1:6" x14ac:dyDescent="0.25">
      <c r="A58" s="33">
        <v>1836</v>
      </c>
      <c r="B58" s="38"/>
      <c r="C58" s="38" t="s">
        <v>150</v>
      </c>
      <c r="D58" t="s">
        <v>150</v>
      </c>
      <c r="E58">
        <v>1367.3003802281369</v>
      </c>
      <c r="F58" t="s">
        <v>150</v>
      </c>
    </row>
    <row r="59" spans="1:6" x14ac:dyDescent="0.25">
      <c r="A59" s="33">
        <v>1837</v>
      </c>
      <c r="B59" s="38"/>
      <c r="C59" s="38" t="s">
        <v>150</v>
      </c>
      <c r="D59" t="s">
        <v>150</v>
      </c>
      <c r="E59">
        <v>1391.6981132075473</v>
      </c>
      <c r="F59" t="s">
        <v>150</v>
      </c>
    </row>
    <row r="60" spans="1:6" x14ac:dyDescent="0.25">
      <c r="A60" s="33">
        <v>1838</v>
      </c>
      <c r="B60" s="38"/>
      <c r="C60" s="38" t="s">
        <v>150</v>
      </c>
      <c r="D60" t="s">
        <v>150</v>
      </c>
      <c r="E60">
        <v>1390.2621722846443</v>
      </c>
      <c r="F60" t="s">
        <v>150</v>
      </c>
    </row>
    <row r="61" spans="1:6" x14ac:dyDescent="0.25">
      <c r="A61" s="33">
        <v>1839</v>
      </c>
      <c r="B61" s="38"/>
      <c r="C61" s="38" t="s">
        <v>150</v>
      </c>
      <c r="D61" t="s">
        <v>150</v>
      </c>
      <c r="E61">
        <v>1394.951744617669</v>
      </c>
      <c r="F61" t="s">
        <v>150</v>
      </c>
    </row>
    <row r="62" spans="1:6" x14ac:dyDescent="0.25">
      <c r="A62" s="33">
        <v>1840</v>
      </c>
      <c r="B62" s="38"/>
      <c r="C62" s="38" t="s">
        <v>150</v>
      </c>
      <c r="D62" t="s">
        <v>150</v>
      </c>
      <c r="E62">
        <v>1428.1503316138542</v>
      </c>
      <c r="F62" t="s">
        <v>150</v>
      </c>
    </row>
    <row r="63" spans="1:6" x14ac:dyDescent="0.25">
      <c r="A63" s="33">
        <v>1841</v>
      </c>
      <c r="B63" s="38"/>
      <c r="C63" s="38" t="s">
        <v>150</v>
      </c>
      <c r="D63" t="s">
        <v>150</v>
      </c>
      <c r="E63">
        <v>1413.5667396061269</v>
      </c>
      <c r="F63" t="s">
        <v>150</v>
      </c>
    </row>
    <row r="64" spans="1:6" x14ac:dyDescent="0.25">
      <c r="A64" s="33">
        <v>1842</v>
      </c>
      <c r="B64" s="38"/>
      <c r="C64" s="38" t="s">
        <v>150</v>
      </c>
      <c r="D64" t="s">
        <v>150</v>
      </c>
      <c r="E64">
        <v>1407.2202166064983</v>
      </c>
      <c r="F64" t="s">
        <v>150</v>
      </c>
    </row>
    <row r="65" spans="1:6" x14ac:dyDescent="0.25">
      <c r="A65" s="33">
        <v>1843</v>
      </c>
      <c r="B65" s="38"/>
      <c r="C65" s="38" t="s">
        <v>150</v>
      </c>
      <c r="D65" t="s">
        <v>150</v>
      </c>
      <c r="E65">
        <v>1475.5747126436781</v>
      </c>
      <c r="F65" t="s">
        <v>150</v>
      </c>
    </row>
    <row r="66" spans="1:6" x14ac:dyDescent="0.25">
      <c r="A66" s="33">
        <v>1844</v>
      </c>
      <c r="B66" s="38"/>
      <c r="C66" s="38" t="s">
        <v>150</v>
      </c>
      <c r="D66" t="s">
        <v>150</v>
      </c>
      <c r="E66">
        <v>1526.8741159830267</v>
      </c>
      <c r="F66" t="s">
        <v>150</v>
      </c>
    </row>
    <row r="67" spans="1:6" x14ac:dyDescent="0.25">
      <c r="A67" s="33">
        <v>1845</v>
      </c>
      <c r="B67" s="38"/>
      <c r="C67" s="38" t="s">
        <v>150</v>
      </c>
      <c r="D67" t="s">
        <v>150</v>
      </c>
      <c r="E67">
        <v>1551.048951048951</v>
      </c>
      <c r="F67" t="s">
        <v>150</v>
      </c>
    </row>
    <row r="68" spans="1:6" x14ac:dyDescent="0.25">
      <c r="A68" s="33">
        <v>1846</v>
      </c>
      <c r="B68" s="38"/>
      <c r="C68" s="38" t="s">
        <v>150</v>
      </c>
      <c r="D68" t="s">
        <v>150</v>
      </c>
      <c r="E68">
        <v>1568.5595567867038</v>
      </c>
      <c r="F68" t="s">
        <v>150</v>
      </c>
    </row>
    <row r="69" spans="1:6" x14ac:dyDescent="0.25">
      <c r="A69" s="33">
        <v>1847</v>
      </c>
      <c r="B69" s="38"/>
      <c r="C69" s="38" t="s">
        <v>150</v>
      </c>
      <c r="D69" t="s">
        <v>150</v>
      </c>
      <c r="E69">
        <v>1547.3901098901099</v>
      </c>
      <c r="F69" t="s">
        <v>150</v>
      </c>
    </row>
    <row r="70" spans="1:6" x14ac:dyDescent="0.25">
      <c r="A70" s="33">
        <v>1848</v>
      </c>
      <c r="B70" s="38"/>
      <c r="C70" s="38" t="s">
        <v>150</v>
      </c>
      <c r="D70" t="s">
        <v>150</v>
      </c>
      <c r="E70">
        <v>1612.2448979591836</v>
      </c>
      <c r="F70" t="s">
        <v>150</v>
      </c>
    </row>
    <row r="71" spans="1:6" x14ac:dyDescent="0.25">
      <c r="A71" s="33">
        <v>1849</v>
      </c>
      <c r="B71" s="38"/>
      <c r="C71" s="38" t="s">
        <v>150</v>
      </c>
      <c r="D71" t="s">
        <v>150</v>
      </c>
      <c r="E71">
        <v>1691.3746630727762</v>
      </c>
      <c r="F71" t="s">
        <v>150</v>
      </c>
    </row>
    <row r="72" spans="1:6" x14ac:dyDescent="0.25">
      <c r="A72" s="33">
        <v>1850</v>
      </c>
      <c r="B72" s="38">
        <v>491.63381670078536</v>
      </c>
      <c r="C72" s="38" t="s">
        <v>150</v>
      </c>
      <c r="D72">
        <v>910.93366093366092</v>
      </c>
      <c r="E72">
        <v>1767.1781187458307</v>
      </c>
      <c r="F72" t="s">
        <v>150</v>
      </c>
    </row>
    <row r="73" spans="1:6" x14ac:dyDescent="0.25">
      <c r="A73" s="33">
        <v>1851</v>
      </c>
      <c r="B73" s="38"/>
      <c r="C73" s="38"/>
      <c r="D73" t="s">
        <v>150</v>
      </c>
      <c r="E73">
        <v>1661.8325642715888</v>
      </c>
      <c r="F73" t="s">
        <v>150</v>
      </c>
    </row>
    <row r="74" spans="1:6" x14ac:dyDescent="0.25">
      <c r="A74" s="33">
        <v>1852</v>
      </c>
      <c r="B74" s="38"/>
      <c r="C74" s="38"/>
      <c r="D74" t="s">
        <v>150</v>
      </c>
      <c r="E74">
        <v>1702.4739583333333</v>
      </c>
      <c r="F74" t="s">
        <v>150</v>
      </c>
    </row>
    <row r="75" spans="1:6" x14ac:dyDescent="0.25">
      <c r="A75" s="33">
        <v>1853</v>
      </c>
      <c r="B75" s="38"/>
      <c r="C75" s="38"/>
      <c r="D75" t="s">
        <v>150</v>
      </c>
      <c r="E75">
        <v>1692.0103092783504</v>
      </c>
      <c r="F75" t="s">
        <v>150</v>
      </c>
    </row>
    <row r="76" spans="1:6" x14ac:dyDescent="0.25">
      <c r="A76" s="33">
        <v>1854</v>
      </c>
      <c r="B76" s="38"/>
      <c r="C76" s="38"/>
      <c r="D76" t="s">
        <v>150</v>
      </c>
      <c r="E76">
        <v>1681.325685149777</v>
      </c>
      <c r="F76" t="s">
        <v>150</v>
      </c>
    </row>
    <row r="77" spans="1:6" x14ac:dyDescent="0.25">
      <c r="A77" s="33">
        <v>1855</v>
      </c>
      <c r="B77" s="38"/>
      <c r="C77" s="38"/>
      <c r="D77" t="s">
        <v>150</v>
      </c>
      <c r="E77">
        <v>1842.7672955974842</v>
      </c>
      <c r="F77" t="s">
        <v>150</v>
      </c>
    </row>
    <row r="78" spans="1:6" x14ac:dyDescent="0.25">
      <c r="A78" s="33">
        <v>1856</v>
      </c>
      <c r="B78" s="38"/>
      <c r="C78" s="38"/>
      <c r="D78" t="s">
        <v>150</v>
      </c>
      <c r="E78">
        <v>1715.8808933002481</v>
      </c>
      <c r="F78" t="s">
        <v>150</v>
      </c>
    </row>
    <row r="79" spans="1:6" x14ac:dyDescent="0.25">
      <c r="A79" s="33">
        <v>1857</v>
      </c>
      <c r="B79" s="38"/>
      <c r="C79" s="38"/>
      <c r="D79" t="s">
        <v>150</v>
      </c>
      <c r="E79">
        <v>1721.5422276621789</v>
      </c>
      <c r="F79" t="s">
        <v>150</v>
      </c>
    </row>
    <row r="80" spans="1:6" x14ac:dyDescent="0.25">
      <c r="A80" s="33">
        <v>1858</v>
      </c>
      <c r="B80" s="38"/>
      <c r="C80" s="38"/>
      <c r="D80" t="s">
        <v>150</v>
      </c>
      <c r="E80">
        <v>1687.8402903811252</v>
      </c>
      <c r="F80" t="s">
        <v>150</v>
      </c>
    </row>
    <row r="81" spans="1:6" x14ac:dyDescent="0.25">
      <c r="A81" s="33">
        <v>1859</v>
      </c>
      <c r="B81" s="38"/>
      <c r="C81" s="38"/>
      <c r="D81" t="s">
        <v>150</v>
      </c>
      <c r="E81">
        <v>1778.3751493428913</v>
      </c>
      <c r="F81" t="s">
        <v>150</v>
      </c>
    </row>
    <row r="82" spans="1:6" x14ac:dyDescent="0.25">
      <c r="A82" s="33">
        <v>1860</v>
      </c>
      <c r="B82" s="38">
        <v>572.72818105273939</v>
      </c>
      <c r="C82" s="38" t="s">
        <v>150</v>
      </c>
      <c r="D82">
        <v>959.1484464902187</v>
      </c>
      <c r="E82">
        <v>1741.1556603773586</v>
      </c>
      <c r="F82" t="s">
        <v>150</v>
      </c>
    </row>
    <row r="83" spans="1:6" x14ac:dyDescent="0.25">
      <c r="A83" s="33">
        <v>1861</v>
      </c>
      <c r="B83" s="38"/>
      <c r="C83" s="38" t="s">
        <v>150</v>
      </c>
      <c r="D83">
        <v>957.8107183580388</v>
      </c>
      <c r="E83">
        <v>1747.2335468841002</v>
      </c>
      <c r="F83" t="s">
        <v>150</v>
      </c>
    </row>
    <row r="84" spans="1:6" x14ac:dyDescent="0.25">
      <c r="A84" s="33">
        <v>1862</v>
      </c>
      <c r="B84" s="38"/>
      <c r="C84" s="38" t="s">
        <v>150</v>
      </c>
      <c r="D84">
        <v>896.27959413754229</v>
      </c>
      <c r="E84">
        <v>1778.6083956296723</v>
      </c>
      <c r="F84" t="s">
        <v>150</v>
      </c>
    </row>
    <row r="85" spans="1:6" x14ac:dyDescent="0.25">
      <c r="A85" s="33">
        <v>1863</v>
      </c>
      <c r="B85" s="38"/>
      <c r="C85" s="38" t="s">
        <v>150</v>
      </c>
      <c r="D85">
        <v>957.63656633221854</v>
      </c>
      <c r="E85">
        <v>1869.3923906871096</v>
      </c>
      <c r="F85" t="s">
        <v>150</v>
      </c>
    </row>
    <row r="86" spans="1:6" x14ac:dyDescent="0.25">
      <c r="A86" s="33">
        <v>1864</v>
      </c>
      <c r="B86" s="38"/>
      <c r="C86" s="38" t="s">
        <v>150</v>
      </c>
      <c r="D86">
        <v>968.56039713182577</v>
      </c>
      <c r="E86">
        <v>1832.8643781654475</v>
      </c>
      <c r="F86" t="s">
        <v>150</v>
      </c>
    </row>
    <row r="87" spans="1:6" x14ac:dyDescent="0.25">
      <c r="A87" s="33">
        <v>1865</v>
      </c>
      <c r="B87" s="38"/>
      <c r="C87" s="38" t="s">
        <v>150</v>
      </c>
      <c r="D87">
        <v>951.44571740316417</v>
      </c>
      <c r="E87">
        <v>1874.9305169538632</v>
      </c>
      <c r="F87" t="s">
        <v>150</v>
      </c>
    </row>
    <row r="88" spans="1:6" x14ac:dyDescent="0.25">
      <c r="A88" s="33">
        <v>1866</v>
      </c>
      <c r="B88" s="38"/>
      <c r="C88" s="38" t="s">
        <v>150</v>
      </c>
      <c r="D88">
        <v>958.1521739130435</v>
      </c>
      <c r="E88">
        <v>1859.4266813671445</v>
      </c>
      <c r="F88" t="s">
        <v>150</v>
      </c>
    </row>
    <row r="89" spans="1:6" x14ac:dyDescent="0.25">
      <c r="A89" s="33">
        <v>1867</v>
      </c>
      <c r="B89" s="38"/>
      <c r="C89" s="38" t="s">
        <v>150</v>
      </c>
      <c r="D89">
        <v>885.8547241944292</v>
      </c>
      <c r="E89">
        <v>1840.152755046372</v>
      </c>
      <c r="F89" t="s">
        <v>150</v>
      </c>
    </row>
    <row r="90" spans="1:6" x14ac:dyDescent="0.25">
      <c r="A90" s="33">
        <v>1868</v>
      </c>
      <c r="B90" s="38"/>
      <c r="C90" s="38" t="s">
        <v>150</v>
      </c>
      <c r="D90">
        <v>1003.3783783783783</v>
      </c>
      <c r="E90">
        <v>1853.1317494600432</v>
      </c>
      <c r="F90" t="s">
        <v>150</v>
      </c>
    </row>
    <row r="91" spans="1:6" x14ac:dyDescent="0.25">
      <c r="A91" s="33">
        <v>1869</v>
      </c>
      <c r="B91" s="38"/>
      <c r="C91" s="38" t="s">
        <v>150</v>
      </c>
      <c r="D91">
        <v>1101.4994232987312</v>
      </c>
      <c r="E91">
        <v>1940.1389631213256</v>
      </c>
      <c r="F91" t="s">
        <v>150</v>
      </c>
    </row>
    <row r="92" spans="1:6" x14ac:dyDescent="0.25">
      <c r="A92" s="33">
        <v>1870</v>
      </c>
      <c r="B92" s="38">
        <v>676.00305520114193</v>
      </c>
      <c r="C92" s="38" t="s">
        <v>150</v>
      </c>
      <c r="D92">
        <v>1139.6807297605474</v>
      </c>
      <c r="E92">
        <v>2003.1779661016951</v>
      </c>
      <c r="F92" t="s">
        <v>150</v>
      </c>
    </row>
    <row r="93" spans="1:6" x14ac:dyDescent="0.25">
      <c r="A93" s="33">
        <v>1871</v>
      </c>
      <c r="B93" s="38">
        <v>679.38307047714773</v>
      </c>
      <c r="C93" s="38" t="s">
        <v>150</v>
      </c>
      <c r="D93">
        <v>1126.8393057110864</v>
      </c>
      <c r="E93">
        <v>1993.037309511298</v>
      </c>
      <c r="F93" t="s">
        <v>150</v>
      </c>
    </row>
    <row r="94" spans="1:6" x14ac:dyDescent="0.25">
      <c r="A94" s="33">
        <v>1872</v>
      </c>
      <c r="B94" s="38">
        <v>682.77998582953342</v>
      </c>
      <c r="C94" s="38" t="s">
        <v>150</v>
      </c>
      <c r="D94">
        <v>1145.0324354040683</v>
      </c>
      <c r="E94">
        <v>2086.9708029197081</v>
      </c>
      <c r="F94" t="s">
        <v>150</v>
      </c>
    </row>
    <row r="95" spans="1:6" x14ac:dyDescent="0.25">
      <c r="A95" s="33">
        <v>1873</v>
      </c>
      <c r="B95" s="38">
        <v>686.19388575868095</v>
      </c>
      <c r="C95" s="38" t="s">
        <v>150</v>
      </c>
      <c r="D95">
        <v>1193.3974011911205</v>
      </c>
      <c r="E95">
        <v>2056.5736434108526</v>
      </c>
      <c r="F95" t="s">
        <v>150</v>
      </c>
    </row>
    <row r="96" spans="1:6" x14ac:dyDescent="0.25">
      <c r="A96" s="33">
        <v>1874</v>
      </c>
      <c r="B96" s="38">
        <v>689.62485518747428</v>
      </c>
      <c r="C96" s="38" t="s">
        <v>150</v>
      </c>
      <c r="D96">
        <v>1204.1201281366791</v>
      </c>
      <c r="E96">
        <v>2096.2998976458548</v>
      </c>
      <c r="F96" t="s">
        <v>150</v>
      </c>
    </row>
    <row r="97" spans="1:6" x14ac:dyDescent="0.25">
      <c r="A97" s="33">
        <v>1875</v>
      </c>
      <c r="B97" s="38">
        <v>693.07297946341157</v>
      </c>
      <c r="C97" s="38" t="s">
        <v>150</v>
      </c>
      <c r="D97">
        <v>1211.1848341232228</v>
      </c>
      <c r="E97">
        <v>2111.6016218955906</v>
      </c>
      <c r="F97" t="s">
        <v>150</v>
      </c>
    </row>
    <row r="98" spans="1:6" x14ac:dyDescent="0.25">
      <c r="A98" s="33">
        <v>1876</v>
      </c>
      <c r="B98" s="38">
        <v>696.5383443607285</v>
      </c>
      <c r="C98" s="38" t="s">
        <v>150</v>
      </c>
      <c r="D98">
        <v>1259.2427385892117</v>
      </c>
      <c r="E98">
        <v>2130.3309929789366</v>
      </c>
      <c r="F98" t="s">
        <v>150</v>
      </c>
    </row>
    <row r="99" spans="1:6" x14ac:dyDescent="0.25">
      <c r="A99" s="33">
        <v>1877</v>
      </c>
      <c r="B99" s="38">
        <v>700.02103608253208</v>
      </c>
      <c r="C99" s="38" t="s">
        <v>150</v>
      </c>
      <c r="D99">
        <v>1211.2003065917222</v>
      </c>
      <c r="E99">
        <v>2046.151560178306</v>
      </c>
      <c r="F99" t="s">
        <v>150</v>
      </c>
    </row>
    <row r="100" spans="1:6" x14ac:dyDescent="0.25">
      <c r="A100" s="33">
        <v>1878</v>
      </c>
      <c r="B100" s="38">
        <v>703.52114126294452</v>
      </c>
      <c r="C100" s="38" t="s">
        <v>150</v>
      </c>
      <c r="D100">
        <v>1172.7665153807361</v>
      </c>
      <c r="E100">
        <v>2102.0851688693097</v>
      </c>
      <c r="F100" t="s">
        <v>150</v>
      </c>
    </row>
    <row r="101" spans="1:6" x14ac:dyDescent="0.25">
      <c r="A101" s="33">
        <v>1879</v>
      </c>
      <c r="B101" s="38">
        <v>707.03874696925914</v>
      </c>
      <c r="C101" s="38" t="s">
        <v>150</v>
      </c>
      <c r="D101">
        <v>1167.4041708043694</v>
      </c>
      <c r="E101">
        <v>2148.5465116279074</v>
      </c>
      <c r="F101" t="s">
        <v>150</v>
      </c>
    </row>
    <row r="102" spans="1:6" x14ac:dyDescent="0.25">
      <c r="A102" s="33">
        <v>1880</v>
      </c>
      <c r="B102" s="38">
        <v>710.57394070410533</v>
      </c>
      <c r="C102" s="38" t="s">
        <v>150</v>
      </c>
      <c r="D102">
        <v>1154.8265754763067</v>
      </c>
      <c r="E102">
        <v>2181.4656415185009</v>
      </c>
      <c r="F102" t="s">
        <v>150</v>
      </c>
    </row>
    <row r="103" spans="1:6" x14ac:dyDescent="0.25">
      <c r="A103" s="33">
        <v>1881</v>
      </c>
      <c r="B103" s="38">
        <v>714.12681040762573</v>
      </c>
      <c r="C103" s="38" t="s">
        <v>150</v>
      </c>
      <c r="D103">
        <v>1110.0579150579151</v>
      </c>
      <c r="E103">
        <v>2182.917658257973</v>
      </c>
      <c r="F103" t="s">
        <v>150</v>
      </c>
    </row>
    <row r="104" spans="1:6" x14ac:dyDescent="0.25">
      <c r="A104" s="33">
        <v>1882</v>
      </c>
      <c r="B104" s="38">
        <v>717.69744445966387</v>
      </c>
      <c r="C104" s="38" t="s">
        <v>150</v>
      </c>
      <c r="D104">
        <v>1202.8860819828408</v>
      </c>
      <c r="E104">
        <v>2240.4198113207549</v>
      </c>
      <c r="F104" t="s">
        <v>150</v>
      </c>
    </row>
    <row r="105" spans="1:6" x14ac:dyDescent="0.25">
      <c r="A105" s="33">
        <v>1883</v>
      </c>
      <c r="B105" s="38">
        <v>721.28593168196221</v>
      </c>
      <c r="C105" s="38" t="s">
        <v>150</v>
      </c>
      <c r="D105">
        <v>1229.807511737089</v>
      </c>
      <c r="E105">
        <v>2299.0500701918577</v>
      </c>
      <c r="F105" t="s">
        <v>150</v>
      </c>
    </row>
    <row r="106" spans="1:6" x14ac:dyDescent="0.25">
      <c r="A106" s="33">
        <v>1884</v>
      </c>
      <c r="B106" s="38">
        <v>724.89236134037196</v>
      </c>
      <c r="C106" s="38" t="s">
        <v>150</v>
      </c>
      <c r="D106">
        <v>1219.3424214417744</v>
      </c>
      <c r="E106">
        <v>2285.3749999999995</v>
      </c>
      <c r="F106" t="s">
        <v>150</v>
      </c>
    </row>
    <row r="107" spans="1:6" x14ac:dyDescent="0.25">
      <c r="A107" s="33">
        <v>1885</v>
      </c>
      <c r="B107" s="38">
        <v>728.51682314707375</v>
      </c>
      <c r="C107" s="38" t="s">
        <v>150</v>
      </c>
      <c r="D107">
        <v>1231.2287015945328</v>
      </c>
      <c r="E107">
        <v>2274.2086001829825</v>
      </c>
      <c r="F107" t="s">
        <v>150</v>
      </c>
    </row>
    <row r="108" spans="1:6" x14ac:dyDescent="0.25">
      <c r="A108" s="33">
        <v>1886</v>
      </c>
      <c r="B108" s="38">
        <v>732.15940726280905</v>
      </c>
      <c r="C108" s="38" t="s">
        <v>150</v>
      </c>
      <c r="D108">
        <v>1275.501798561151</v>
      </c>
      <c r="E108">
        <v>2336.1093538183463</v>
      </c>
      <c r="F108" t="s">
        <v>150</v>
      </c>
    </row>
    <row r="109" spans="1:6" x14ac:dyDescent="0.25">
      <c r="A109" s="33">
        <v>1887</v>
      </c>
      <c r="B109" s="38">
        <v>728.49861022649486</v>
      </c>
      <c r="C109" s="38" t="s">
        <v>150</v>
      </c>
      <c r="D109">
        <v>1275.5374059318283</v>
      </c>
      <c r="E109">
        <v>2394.5149754135</v>
      </c>
      <c r="F109" t="s">
        <v>150</v>
      </c>
    </row>
    <row r="110" spans="1:6" x14ac:dyDescent="0.25">
      <c r="A110" s="33">
        <v>1888</v>
      </c>
      <c r="B110" s="38">
        <v>724.85611717536244</v>
      </c>
      <c r="C110" s="38" t="s">
        <v>150</v>
      </c>
      <c r="D110">
        <v>1302.287456445993</v>
      </c>
      <c r="E110">
        <v>2388.8081524147096</v>
      </c>
      <c r="F110" t="s">
        <v>150</v>
      </c>
    </row>
    <row r="111" spans="1:6" x14ac:dyDescent="0.25">
      <c r="A111" s="33">
        <v>1889</v>
      </c>
      <c r="B111" s="38">
        <v>721.23183658948574</v>
      </c>
      <c r="C111" s="38" t="s">
        <v>150</v>
      </c>
      <c r="D111">
        <v>1326.5877305877304</v>
      </c>
      <c r="E111">
        <v>2399.6309314586997</v>
      </c>
      <c r="F111" t="s">
        <v>150</v>
      </c>
    </row>
    <row r="112" spans="1:6" x14ac:dyDescent="0.25">
      <c r="A112" s="33">
        <v>1890</v>
      </c>
      <c r="B112" s="38">
        <v>717.62567740653822</v>
      </c>
      <c r="C112" s="38" t="s">
        <v>150</v>
      </c>
      <c r="D112">
        <v>1381.0401861252117</v>
      </c>
      <c r="E112">
        <v>2523.2432432432433</v>
      </c>
      <c r="F112" t="s">
        <v>150</v>
      </c>
    </row>
    <row r="113" spans="1:6" x14ac:dyDescent="0.25">
      <c r="A113" s="33">
        <v>1891</v>
      </c>
      <c r="B113" s="38">
        <v>714.03754901950538</v>
      </c>
      <c r="C113" s="38" t="s">
        <v>150</v>
      </c>
      <c r="D113">
        <v>1350.390142021721</v>
      </c>
      <c r="E113">
        <v>2555.1795759411511</v>
      </c>
      <c r="F113" t="s">
        <v>150</v>
      </c>
    </row>
    <row r="114" spans="1:6" x14ac:dyDescent="0.25">
      <c r="A114" s="33">
        <v>1892</v>
      </c>
      <c r="B114" s="38">
        <v>710.46736127440806</v>
      </c>
      <c r="C114" s="38" t="s">
        <v>150</v>
      </c>
      <c r="D114">
        <v>1279.8853529171768</v>
      </c>
      <c r="E114">
        <v>2597.7911474000862</v>
      </c>
      <c r="F114" t="s">
        <v>150</v>
      </c>
    </row>
    <row r="115" spans="1:6" x14ac:dyDescent="0.25">
      <c r="A115" s="33">
        <v>1893</v>
      </c>
      <c r="B115" s="38">
        <v>706.91502446803588</v>
      </c>
      <c r="C115" s="38" t="s">
        <v>150</v>
      </c>
      <c r="D115">
        <v>1340.9012345679012</v>
      </c>
      <c r="E115">
        <v>2628.737201365188</v>
      </c>
      <c r="F115" t="s">
        <v>150</v>
      </c>
    </row>
    <row r="116" spans="1:6" x14ac:dyDescent="0.25">
      <c r="A116" s="33">
        <v>1894</v>
      </c>
      <c r="B116" s="38">
        <v>703.38044934569564</v>
      </c>
      <c r="C116" s="38" t="s">
        <v>150</v>
      </c>
      <c r="D116">
        <v>1399.4225408203902</v>
      </c>
      <c r="E116">
        <v>2657.4271229404308</v>
      </c>
      <c r="F116" t="s">
        <v>150</v>
      </c>
    </row>
    <row r="117" spans="1:6" x14ac:dyDescent="0.25">
      <c r="A117" s="33">
        <v>1895</v>
      </c>
      <c r="B117" s="38">
        <v>699.86354709896727</v>
      </c>
      <c r="C117" s="38" t="s">
        <v>150</v>
      </c>
      <c r="D117">
        <v>1492.3962948046717</v>
      </c>
      <c r="E117">
        <v>2770.2252816020027</v>
      </c>
      <c r="F117" t="s">
        <v>150</v>
      </c>
    </row>
    <row r="118" spans="1:6" x14ac:dyDescent="0.25">
      <c r="A118" s="33">
        <v>1896</v>
      </c>
      <c r="B118" s="38">
        <v>696.3642293634723</v>
      </c>
      <c r="C118" s="38" t="s">
        <v>150</v>
      </c>
      <c r="D118">
        <v>1569.9411530815107</v>
      </c>
      <c r="E118">
        <v>2835.790774299835</v>
      </c>
      <c r="F118" t="s">
        <v>150</v>
      </c>
    </row>
    <row r="119" spans="1:6" x14ac:dyDescent="0.25">
      <c r="A119" s="33">
        <v>1897</v>
      </c>
      <c r="B119" s="38">
        <v>692.88240821665499</v>
      </c>
      <c r="C119" s="38" t="s">
        <v>150</v>
      </c>
      <c r="D119">
        <v>1624.1945861122006</v>
      </c>
      <c r="E119">
        <v>2862.9894394800976</v>
      </c>
      <c r="F119" t="s">
        <v>150</v>
      </c>
    </row>
    <row r="120" spans="1:6" x14ac:dyDescent="0.25">
      <c r="A120" s="33">
        <v>1898</v>
      </c>
      <c r="B120" s="38">
        <v>689.4179961755716</v>
      </c>
      <c r="C120" s="38" t="s">
        <v>150</v>
      </c>
      <c r="D120">
        <v>1668.1977597528003</v>
      </c>
      <c r="E120">
        <v>2869.5955146175411</v>
      </c>
      <c r="F120" t="s">
        <v>150</v>
      </c>
    </row>
    <row r="121" spans="1:6" x14ac:dyDescent="0.25">
      <c r="A121" s="33">
        <v>1899</v>
      </c>
      <c r="B121" s="38">
        <v>685.97090619469384</v>
      </c>
      <c r="C121" s="38" t="s">
        <v>150</v>
      </c>
      <c r="D121">
        <v>1606.9893292682925</v>
      </c>
      <c r="E121">
        <v>2952.094861660079</v>
      </c>
      <c r="F121" t="s">
        <v>150</v>
      </c>
    </row>
    <row r="122" spans="1:6" x14ac:dyDescent="0.25">
      <c r="A122" s="33">
        <v>1900</v>
      </c>
      <c r="B122" s="38">
        <v>682.54105166372028</v>
      </c>
      <c r="C122" s="38" t="s">
        <v>150</v>
      </c>
      <c r="D122">
        <v>1668.4803476946336</v>
      </c>
      <c r="E122">
        <v>3016.6106989457244</v>
      </c>
      <c r="F122" t="s">
        <v>150</v>
      </c>
    </row>
    <row r="123" spans="1:6" x14ac:dyDescent="0.25">
      <c r="A123" s="33">
        <v>1901</v>
      </c>
      <c r="B123" s="38">
        <v>679.12834640540154</v>
      </c>
      <c r="C123" s="38" t="s">
        <v>150</v>
      </c>
      <c r="D123">
        <v>1636.1781027371578</v>
      </c>
      <c r="E123">
        <v>3104.2020046260604</v>
      </c>
      <c r="F123" t="s">
        <v>150</v>
      </c>
    </row>
    <row r="124" spans="1:6" x14ac:dyDescent="0.25">
      <c r="A124" s="33">
        <v>1902</v>
      </c>
      <c r="B124" s="38">
        <v>675.73270467337454</v>
      </c>
      <c r="C124" s="38" t="s">
        <v>150</v>
      </c>
      <c r="D124">
        <v>1591.3034251675354</v>
      </c>
      <c r="E124">
        <v>3141.0674799847507</v>
      </c>
      <c r="F124" t="s">
        <v>150</v>
      </c>
    </row>
    <row r="125" spans="1:6" x14ac:dyDescent="0.25">
      <c r="A125" s="33">
        <v>1903</v>
      </c>
      <c r="B125" s="38">
        <v>672.35404115000767</v>
      </c>
      <c r="C125" s="38" t="s">
        <v>150</v>
      </c>
      <c r="D125">
        <v>1685.7893569844791</v>
      </c>
      <c r="E125">
        <v>3290.2977761025254</v>
      </c>
      <c r="F125" t="s">
        <v>150</v>
      </c>
    </row>
    <row r="126" spans="1:6" x14ac:dyDescent="0.25">
      <c r="A126" s="33">
        <v>1904</v>
      </c>
      <c r="B126" s="38">
        <v>668.9922709442576</v>
      </c>
      <c r="C126" s="38" t="s">
        <v>150</v>
      </c>
      <c r="D126">
        <v>1730.9868372943326</v>
      </c>
      <c r="E126">
        <v>3325.5800074599028</v>
      </c>
      <c r="F126" t="s">
        <v>150</v>
      </c>
    </row>
    <row r="127" spans="1:6" x14ac:dyDescent="0.25">
      <c r="A127" s="33">
        <v>1905</v>
      </c>
      <c r="B127" s="38">
        <v>665.64730958953635</v>
      </c>
      <c r="C127" s="38" t="s">
        <v>150</v>
      </c>
      <c r="D127">
        <v>1741.8236784938447</v>
      </c>
      <c r="E127">
        <v>3345.9741697416976</v>
      </c>
      <c r="F127" t="s">
        <v>150</v>
      </c>
    </row>
    <row r="128" spans="1:6" x14ac:dyDescent="0.25">
      <c r="A128" s="33">
        <v>1906</v>
      </c>
      <c r="B128" s="38">
        <v>671.47858879639546</v>
      </c>
      <c r="C128" s="38" t="s">
        <v>150</v>
      </c>
      <c r="D128">
        <v>1794.3281922525105</v>
      </c>
      <c r="E128">
        <v>3401.7986136446552</v>
      </c>
      <c r="F128" t="s">
        <v>150</v>
      </c>
    </row>
    <row r="129" spans="1:6" x14ac:dyDescent="0.25">
      <c r="A129" s="33">
        <v>1907</v>
      </c>
      <c r="B129" s="38">
        <v>702.33392119909547</v>
      </c>
      <c r="C129" s="38" t="s">
        <v>150</v>
      </c>
      <c r="D129">
        <v>1834.4877702942219</v>
      </c>
      <c r="E129">
        <v>3486.2810810810815</v>
      </c>
      <c r="F129" t="s">
        <v>150</v>
      </c>
    </row>
    <row r="130" spans="1:6" x14ac:dyDescent="0.25">
      <c r="A130" s="33">
        <v>1908</v>
      </c>
      <c r="B130" s="38">
        <v>727.55163662871519</v>
      </c>
      <c r="C130" s="38" t="s">
        <v>150</v>
      </c>
      <c r="D130">
        <v>1828.9377839916115</v>
      </c>
      <c r="E130">
        <v>3552.1003915984338</v>
      </c>
      <c r="F130" t="s">
        <v>150</v>
      </c>
    </row>
    <row r="131" spans="1:6" x14ac:dyDescent="0.25">
      <c r="A131" s="33">
        <v>1909</v>
      </c>
      <c r="B131" s="38">
        <v>751.48292031733467</v>
      </c>
      <c r="C131" s="38" t="s">
        <v>150</v>
      </c>
      <c r="D131">
        <v>1884.3032080027597</v>
      </c>
      <c r="E131">
        <v>3642.5166959578205</v>
      </c>
      <c r="F131" t="s">
        <v>150</v>
      </c>
    </row>
    <row r="132" spans="1:6" x14ac:dyDescent="0.25">
      <c r="A132" s="33">
        <v>1910</v>
      </c>
      <c r="B132" s="38">
        <v>779.03325708232626</v>
      </c>
      <c r="C132" s="38" t="s">
        <v>150</v>
      </c>
      <c r="D132">
        <v>1906.4479344486176</v>
      </c>
      <c r="E132">
        <v>3705.0832755031229</v>
      </c>
      <c r="F132" t="s">
        <v>150</v>
      </c>
    </row>
    <row r="133" spans="1:6" x14ac:dyDescent="0.25">
      <c r="A133" s="33">
        <v>1911</v>
      </c>
      <c r="B133" s="38">
        <v>802.16547142709476</v>
      </c>
      <c r="C133" s="38" t="s">
        <v>150</v>
      </c>
      <c r="D133">
        <v>1939.1326806212023</v>
      </c>
      <c r="E133">
        <v>3856.6609530339388</v>
      </c>
      <c r="F133" t="s">
        <v>150</v>
      </c>
    </row>
    <row r="134" spans="1:6" x14ac:dyDescent="0.25">
      <c r="A134" s="33">
        <v>1912</v>
      </c>
      <c r="B134" s="38">
        <v>825.65364903573436</v>
      </c>
      <c r="C134" s="38" t="s">
        <v>150</v>
      </c>
      <c r="D134">
        <v>2022.4019346230823</v>
      </c>
      <c r="E134">
        <v>3812.226363944425</v>
      </c>
      <c r="F134" t="s">
        <v>150</v>
      </c>
    </row>
    <row r="135" spans="1:6" x14ac:dyDescent="0.25">
      <c r="A135" s="33">
        <v>1913</v>
      </c>
      <c r="B135" s="38">
        <v>845.21890100551514</v>
      </c>
      <c r="C135" s="38" t="s">
        <v>150</v>
      </c>
      <c r="D135">
        <v>2110.6706309877763</v>
      </c>
      <c r="E135">
        <v>3912.168957425411</v>
      </c>
      <c r="F135" t="s">
        <v>150</v>
      </c>
    </row>
    <row r="136" spans="1:6" x14ac:dyDescent="0.25">
      <c r="A136" s="33">
        <v>1914</v>
      </c>
      <c r="B136" s="38">
        <v>860.55684245249688</v>
      </c>
      <c r="C136" s="38" t="s">
        <v>150</v>
      </c>
      <c r="D136">
        <v>2000.6170979364556</v>
      </c>
      <c r="E136">
        <v>4110.4075546719687</v>
      </c>
      <c r="F136" t="s">
        <v>150</v>
      </c>
    </row>
    <row r="137" spans="1:6" x14ac:dyDescent="0.25">
      <c r="A137" s="33">
        <v>1915</v>
      </c>
      <c r="B137" s="38">
        <v>883.11986272415527</v>
      </c>
      <c r="C137" s="38" t="s">
        <v>150</v>
      </c>
      <c r="D137">
        <v>1881.6775867661368</v>
      </c>
      <c r="E137">
        <v>3777.9476268412436</v>
      </c>
      <c r="F137" t="s">
        <v>150</v>
      </c>
    </row>
    <row r="138" spans="1:6" x14ac:dyDescent="0.25">
      <c r="A138" s="33">
        <v>1916</v>
      </c>
      <c r="B138" s="38">
        <v>910.82546936098868</v>
      </c>
      <c r="C138" s="38" t="s">
        <v>150</v>
      </c>
      <c r="D138">
        <v>1893.0370370370372</v>
      </c>
      <c r="E138">
        <v>3891.2580853816303</v>
      </c>
      <c r="F138" t="s">
        <v>150</v>
      </c>
    </row>
    <row r="139" spans="1:6" x14ac:dyDescent="0.25">
      <c r="A139" s="33">
        <v>1917</v>
      </c>
      <c r="B139" s="38">
        <v>930.021514403982</v>
      </c>
      <c r="C139" s="38" t="s">
        <v>150</v>
      </c>
      <c r="D139">
        <v>1580.8889244558254</v>
      </c>
      <c r="E139">
        <v>3616.5814696485622</v>
      </c>
      <c r="F139" t="s">
        <v>150</v>
      </c>
    </row>
    <row r="140" spans="1:6" x14ac:dyDescent="0.25">
      <c r="A140" s="33">
        <v>1918</v>
      </c>
      <c r="B140" s="38">
        <v>962.9212380951094</v>
      </c>
      <c r="C140" s="38" t="s">
        <v>150</v>
      </c>
      <c r="D140">
        <v>1369.8016</v>
      </c>
      <c r="E140">
        <v>3458.5971563981038</v>
      </c>
      <c r="F140" t="s">
        <v>150</v>
      </c>
    </row>
    <row r="141" spans="1:6" x14ac:dyDescent="0.25">
      <c r="A141" s="33">
        <v>1919</v>
      </c>
      <c r="B141" s="38">
        <v>1022.26907330927</v>
      </c>
      <c r="C141" s="38" t="s">
        <v>150</v>
      </c>
      <c r="D141">
        <v>1658.2293872313121</v>
      </c>
      <c r="E141">
        <v>3859.6283572767024</v>
      </c>
      <c r="F141" t="s">
        <v>150</v>
      </c>
    </row>
    <row r="142" spans="1:6" x14ac:dyDescent="0.25">
      <c r="A142" s="33">
        <v>1920</v>
      </c>
      <c r="B142" s="38">
        <v>1070.515420458358</v>
      </c>
      <c r="C142" s="38" t="s">
        <v>150</v>
      </c>
      <c r="D142">
        <v>1845.5298436003832</v>
      </c>
      <c r="E142">
        <v>3991.9895126465149</v>
      </c>
      <c r="F142" t="s">
        <v>150</v>
      </c>
    </row>
    <row r="143" spans="1:6" x14ac:dyDescent="0.25">
      <c r="A143" s="33">
        <v>1921</v>
      </c>
      <c r="B143" s="38">
        <v>1109.7136823904073</v>
      </c>
      <c r="C143" s="38" t="s">
        <v>150</v>
      </c>
      <c r="D143">
        <v>1884.4526813880127</v>
      </c>
      <c r="E143">
        <v>3826.0547945205481</v>
      </c>
      <c r="F143" t="s">
        <v>150</v>
      </c>
    </row>
    <row r="144" spans="1:6" x14ac:dyDescent="0.25">
      <c r="A144" s="33">
        <v>1922</v>
      </c>
      <c r="B144" s="38">
        <v>1161.391536323983</v>
      </c>
      <c r="C144" s="38" t="s">
        <v>150</v>
      </c>
      <c r="D144">
        <v>2058.0143302180691</v>
      </c>
      <c r="E144">
        <v>4166.351595424444</v>
      </c>
      <c r="F144" t="s">
        <v>150</v>
      </c>
    </row>
    <row r="145" spans="1:6" x14ac:dyDescent="0.25">
      <c r="A145" s="33">
        <v>1923</v>
      </c>
      <c r="B145" s="38">
        <v>1211.0167045908161</v>
      </c>
      <c r="C145" s="38" t="s">
        <v>150</v>
      </c>
      <c r="D145">
        <v>2186.799259944496</v>
      </c>
      <c r="E145">
        <v>4558.8110846245527</v>
      </c>
      <c r="F145" t="s">
        <v>150</v>
      </c>
    </row>
    <row r="146" spans="1:6" x14ac:dyDescent="0.25">
      <c r="A146" s="33">
        <v>1924</v>
      </c>
      <c r="B146" s="38">
        <v>1255.0130775937228</v>
      </c>
      <c r="C146" s="38" t="s">
        <v>150</v>
      </c>
      <c r="D146">
        <v>2224.0437041564792</v>
      </c>
      <c r="E146">
        <v>4528.1941575686042</v>
      </c>
      <c r="F146" t="s">
        <v>150</v>
      </c>
    </row>
    <row r="147" spans="1:6" x14ac:dyDescent="0.25">
      <c r="A147" s="33">
        <v>1925</v>
      </c>
      <c r="B147" s="38">
        <v>1254.768570798911</v>
      </c>
      <c r="C147" s="38" t="s">
        <v>150</v>
      </c>
      <c r="D147">
        <v>2328.1949152542375</v>
      </c>
      <c r="E147">
        <v>4378.3795620437959</v>
      </c>
      <c r="F147" t="s">
        <v>150</v>
      </c>
    </row>
    <row r="148" spans="1:6" x14ac:dyDescent="0.25">
      <c r="A148" s="33">
        <v>1926</v>
      </c>
      <c r="B148" s="38">
        <v>1340.2445907950703</v>
      </c>
      <c r="C148" s="38" t="s">
        <v>150</v>
      </c>
      <c r="D148">
        <v>2391.8089248277929</v>
      </c>
      <c r="E148">
        <v>4597.6825028968715</v>
      </c>
      <c r="F148" t="s">
        <v>150</v>
      </c>
    </row>
    <row r="149" spans="1:6" x14ac:dyDescent="0.25">
      <c r="A149" s="33">
        <v>1927</v>
      </c>
      <c r="B149" s="38">
        <v>1423.8384058577083</v>
      </c>
      <c r="C149" s="38" t="s">
        <v>150</v>
      </c>
      <c r="D149">
        <v>2557.1175771971498</v>
      </c>
      <c r="E149">
        <v>4657.9251798561154</v>
      </c>
      <c r="F149" t="s">
        <v>150</v>
      </c>
    </row>
    <row r="150" spans="1:6" x14ac:dyDescent="0.25">
      <c r="A150" s="33">
        <v>1928</v>
      </c>
      <c r="B150" s="38">
        <v>1489.6893138667037</v>
      </c>
      <c r="C150" s="38" t="s">
        <v>150</v>
      </c>
      <c r="D150">
        <v>2707.2352767962311</v>
      </c>
      <c r="E150">
        <v>4785.4675436088073</v>
      </c>
      <c r="F150" t="s">
        <v>150</v>
      </c>
    </row>
    <row r="151" spans="1:6" x14ac:dyDescent="0.25">
      <c r="A151" s="33">
        <v>1929</v>
      </c>
      <c r="B151" s="38">
        <v>1504.7035174833609</v>
      </c>
      <c r="C151" s="38" t="s">
        <v>150</v>
      </c>
      <c r="D151">
        <v>2716.8177570093453</v>
      </c>
      <c r="E151">
        <v>5075.3553155201816</v>
      </c>
      <c r="F151" t="s">
        <v>150</v>
      </c>
    </row>
    <row r="152" spans="1:6" x14ac:dyDescent="0.25">
      <c r="A152" s="33">
        <v>1930</v>
      </c>
      <c r="B152" s="38">
        <v>1474.0412547268083</v>
      </c>
      <c r="C152" s="38" t="s">
        <v>150</v>
      </c>
      <c r="D152">
        <v>2665.633806900551</v>
      </c>
      <c r="E152">
        <v>5340.7876905702997</v>
      </c>
      <c r="F152" t="s">
        <v>150</v>
      </c>
    </row>
    <row r="153" spans="1:6" x14ac:dyDescent="0.25">
      <c r="A153" s="33">
        <v>1931</v>
      </c>
      <c r="B153" s="38">
        <v>1447.7387853891244</v>
      </c>
      <c r="C153" s="38" t="s">
        <v>150</v>
      </c>
      <c r="D153">
        <v>2580.597238204833</v>
      </c>
      <c r="E153">
        <v>5359.2406836648925</v>
      </c>
      <c r="F153" t="s">
        <v>150</v>
      </c>
    </row>
    <row r="154" spans="1:6" x14ac:dyDescent="0.25">
      <c r="A154" s="33">
        <v>1932</v>
      </c>
      <c r="B154" s="38">
        <v>1510.7827513278455</v>
      </c>
      <c r="C154" s="38" t="s">
        <v>150</v>
      </c>
      <c r="D154">
        <v>2549.7636311732799</v>
      </c>
      <c r="E154">
        <v>5169.3921731890096</v>
      </c>
      <c r="F154" t="s">
        <v>150</v>
      </c>
    </row>
    <row r="155" spans="1:6" x14ac:dyDescent="0.25">
      <c r="A155" s="33">
        <v>1933</v>
      </c>
      <c r="B155" s="38">
        <v>1576.679465487593</v>
      </c>
      <c r="C155" s="38" t="s">
        <v>150</v>
      </c>
      <c r="D155">
        <v>2701.6446398184912</v>
      </c>
      <c r="E155">
        <v>5290.5284888521892</v>
      </c>
      <c r="F155" t="s">
        <v>150</v>
      </c>
    </row>
    <row r="156" spans="1:6" x14ac:dyDescent="0.25">
      <c r="A156" s="33">
        <v>1934</v>
      </c>
      <c r="B156" s="38">
        <v>1525.5691686467121</v>
      </c>
      <c r="C156" s="38" t="s">
        <v>150</v>
      </c>
      <c r="D156">
        <v>2988.3741899126512</v>
      </c>
      <c r="E156">
        <v>5402.0703764320797</v>
      </c>
      <c r="F156" t="s">
        <v>150</v>
      </c>
    </row>
    <row r="157" spans="1:6" x14ac:dyDescent="0.25">
      <c r="A157" s="33">
        <v>1935</v>
      </c>
      <c r="B157" s="38">
        <v>1676.5384517324314</v>
      </c>
      <c r="C157" s="38" t="s">
        <v>150</v>
      </c>
      <c r="D157">
        <v>3092.6619127516774</v>
      </c>
      <c r="E157">
        <v>5479.6887686062255</v>
      </c>
      <c r="F157" t="s">
        <v>150</v>
      </c>
    </row>
    <row r="158" spans="1:6" x14ac:dyDescent="0.25">
      <c r="A158" s="33">
        <v>1936</v>
      </c>
      <c r="B158" s="38">
        <v>1744.4477394724809</v>
      </c>
      <c r="C158" s="38" t="s">
        <v>150</v>
      </c>
      <c r="D158">
        <v>3278.7758955845602</v>
      </c>
      <c r="E158">
        <v>5574.7608812466415</v>
      </c>
      <c r="F158" t="s">
        <v>150</v>
      </c>
    </row>
    <row r="159" spans="1:6" x14ac:dyDescent="0.25">
      <c r="A159" s="33">
        <v>1937</v>
      </c>
      <c r="B159" s="38">
        <v>1750.8367555271891</v>
      </c>
      <c r="C159" s="38" t="s">
        <v>150</v>
      </c>
      <c r="D159">
        <v>3441.1795366795373</v>
      </c>
      <c r="E159">
        <v>5668.4635902907439</v>
      </c>
      <c r="F159" t="s">
        <v>150</v>
      </c>
    </row>
    <row r="160" spans="1:6" x14ac:dyDescent="0.25">
      <c r="A160" s="33">
        <v>1938</v>
      </c>
      <c r="B160" s="38">
        <v>1842.9948099779622</v>
      </c>
      <c r="C160" s="38" t="s">
        <v>150</v>
      </c>
      <c r="D160">
        <v>3589.4436542669587</v>
      </c>
      <c r="E160">
        <v>5762.3907863383629</v>
      </c>
      <c r="F160" t="s">
        <v>150</v>
      </c>
    </row>
    <row r="161" spans="1:6" x14ac:dyDescent="0.25">
      <c r="A161" s="33">
        <v>1939</v>
      </c>
      <c r="B161" s="38">
        <v>1904.8725699024237</v>
      </c>
      <c r="C161" s="38">
        <v>1894.1068139963168</v>
      </c>
      <c r="D161">
        <v>3407.6977753662504</v>
      </c>
      <c r="E161">
        <v>5992.951379763469</v>
      </c>
      <c r="F161" t="s">
        <v>150</v>
      </c>
    </row>
    <row r="162" spans="1:6" x14ac:dyDescent="0.25">
      <c r="A162" s="33">
        <v>1940</v>
      </c>
      <c r="B162" s="38">
        <v>1895.1373082354107</v>
      </c>
      <c r="C162" s="38">
        <v>1752.4752475247524</v>
      </c>
      <c r="D162">
        <v>3220.4153596538672</v>
      </c>
      <c r="E162">
        <v>5116.2839248434229</v>
      </c>
      <c r="F162" t="s">
        <v>150</v>
      </c>
    </row>
    <row r="163" spans="1:6" x14ac:dyDescent="0.25">
      <c r="A163" s="33">
        <v>1941</v>
      </c>
      <c r="B163" s="38">
        <v>1877.1971930882996</v>
      </c>
      <c r="C163" s="38">
        <v>1740.5452946350044</v>
      </c>
      <c r="D163">
        <v>3322.2109670448408</v>
      </c>
      <c r="E163">
        <v>4573.7457934247996</v>
      </c>
      <c r="F163" t="s">
        <v>150</v>
      </c>
    </row>
    <row r="164" spans="1:6" x14ac:dyDescent="0.25">
      <c r="A164" s="33">
        <v>1942</v>
      </c>
      <c r="B164" s="38">
        <v>1831.6018534072618</v>
      </c>
      <c r="C164" s="38">
        <v>1799.8281786941582</v>
      </c>
      <c r="D164">
        <v>3327.1734088457388</v>
      </c>
      <c r="E164">
        <v>4628.5318985395843</v>
      </c>
      <c r="F164" t="s">
        <v>150</v>
      </c>
    </row>
    <row r="165" spans="1:6" x14ac:dyDescent="0.25">
      <c r="A165" s="33">
        <v>1943</v>
      </c>
      <c r="B165" s="38">
        <v>1791.5875442647218</v>
      </c>
      <c r="C165" s="38">
        <v>1795.9697732997481</v>
      </c>
      <c r="D165">
        <v>3696.7258801397479</v>
      </c>
      <c r="E165">
        <v>5079.9518865535583</v>
      </c>
      <c r="F165" t="s">
        <v>150</v>
      </c>
    </row>
    <row r="166" spans="1:6" x14ac:dyDescent="0.25">
      <c r="A166" s="33">
        <v>1944</v>
      </c>
      <c r="B166" s="38">
        <v>1862.5978615043741</v>
      </c>
      <c r="C166" s="38">
        <v>1792.4528301886794</v>
      </c>
      <c r="D166">
        <v>3684.5799196787152</v>
      </c>
      <c r="E166">
        <v>5543.1040520260131</v>
      </c>
      <c r="F166" t="s">
        <v>150</v>
      </c>
    </row>
    <row r="167" spans="1:6" x14ac:dyDescent="0.25">
      <c r="A167" s="33">
        <v>1945</v>
      </c>
      <c r="B167" s="38">
        <v>1899.2702374878495</v>
      </c>
      <c r="C167" s="38">
        <v>1690.4570970328789</v>
      </c>
      <c r="D167">
        <v>3449.5159659393298</v>
      </c>
      <c r="E167">
        <v>5066.1359703337457</v>
      </c>
      <c r="F167" t="s">
        <v>150</v>
      </c>
    </row>
    <row r="168" spans="1:6" x14ac:dyDescent="0.25">
      <c r="A168" s="33">
        <v>1946</v>
      </c>
      <c r="B168" s="38">
        <v>2017.0364891640959</v>
      </c>
      <c r="C168" s="38">
        <v>1814.9019607843138</v>
      </c>
      <c r="D168">
        <v>3682.991592222806</v>
      </c>
      <c r="E168">
        <v>5776.6642282370149</v>
      </c>
      <c r="F168" t="s">
        <v>150</v>
      </c>
    </row>
    <row r="169" spans="1:6" x14ac:dyDescent="0.25">
      <c r="A169" s="33">
        <v>1947</v>
      </c>
      <c r="B169" s="38">
        <v>2041.9550695236533</v>
      </c>
      <c r="C169" s="38">
        <v>1541.7624521072796</v>
      </c>
      <c r="D169">
        <v>3716.845037574501</v>
      </c>
      <c r="E169">
        <v>6034.8480463096957</v>
      </c>
      <c r="F169" t="s">
        <v>150</v>
      </c>
    </row>
    <row r="170" spans="1:6" x14ac:dyDescent="0.25">
      <c r="A170" s="33">
        <v>1948</v>
      </c>
      <c r="B170" s="38">
        <v>2050.3725284157345</v>
      </c>
      <c r="C170" s="38">
        <v>1524.3445692883895</v>
      </c>
      <c r="D170">
        <v>3957.1950408997959</v>
      </c>
      <c r="E170">
        <v>6133.0167064439147</v>
      </c>
      <c r="F170" t="s">
        <v>150</v>
      </c>
    </row>
    <row r="171" spans="1:6" x14ac:dyDescent="0.25">
      <c r="A171" s="33">
        <v>1949</v>
      </c>
      <c r="B171" s="38">
        <v>2107.3371719918055</v>
      </c>
      <c r="C171" s="38">
        <v>1740.1171303074671</v>
      </c>
      <c r="D171">
        <v>4143.2576331062328</v>
      </c>
      <c r="E171">
        <v>6494.3687943262412</v>
      </c>
      <c r="F171" t="s">
        <v>150</v>
      </c>
    </row>
    <row r="172" spans="1:6" x14ac:dyDescent="0.25">
      <c r="A172" s="33">
        <v>1950</v>
      </c>
      <c r="B172" s="38">
        <v>2152.8412932817723</v>
      </c>
      <c r="C172" s="38">
        <v>1584.3661417296153</v>
      </c>
      <c r="D172">
        <v>4253.28643767617</v>
      </c>
      <c r="E172">
        <v>6943.1046593303681</v>
      </c>
      <c r="F172" t="s">
        <v>150</v>
      </c>
    </row>
    <row r="173" spans="1:6" x14ac:dyDescent="0.25">
      <c r="A173" s="33">
        <v>1951</v>
      </c>
      <c r="B173" s="38">
        <v>2150.1044713748433</v>
      </c>
      <c r="C173" s="38">
        <v>1572.626920495559</v>
      </c>
      <c r="D173">
        <v>4571.1956118894077</v>
      </c>
      <c r="E173">
        <v>6936.4860280415087</v>
      </c>
      <c r="F173" t="s">
        <v>150</v>
      </c>
    </row>
    <row r="174" spans="1:6" x14ac:dyDescent="0.25">
      <c r="A174" s="33">
        <v>1952</v>
      </c>
      <c r="B174" s="38">
        <v>2214.4366533878733</v>
      </c>
      <c r="C174" s="38">
        <v>1505.9040694759738</v>
      </c>
      <c r="D174">
        <v>4674.4896711893407</v>
      </c>
      <c r="E174">
        <v>6955.2376557452699</v>
      </c>
      <c r="F174" t="s">
        <v>150</v>
      </c>
    </row>
    <row r="175" spans="1:6" x14ac:dyDescent="0.25">
      <c r="A175" s="33">
        <v>1953</v>
      </c>
      <c r="B175" s="38">
        <v>2276.6170502820514</v>
      </c>
      <c r="C175" s="38">
        <v>1508.6836953861196</v>
      </c>
      <c r="D175">
        <v>4651.6403343479742</v>
      </c>
      <c r="E175">
        <v>7291.5903764464629</v>
      </c>
      <c r="F175" t="s">
        <v>150</v>
      </c>
    </row>
    <row r="176" spans="1:6" x14ac:dyDescent="0.25">
      <c r="A176" s="33">
        <v>1954</v>
      </c>
      <c r="B176" s="38">
        <v>2358.4556241173932</v>
      </c>
      <c r="C176" s="38">
        <v>1495.1711824657643</v>
      </c>
      <c r="D176">
        <v>5001.5524612481795</v>
      </c>
      <c r="E176">
        <v>7371.3118474807079</v>
      </c>
      <c r="F176" t="s">
        <v>150</v>
      </c>
    </row>
    <row r="177" spans="1:6" x14ac:dyDescent="0.25">
      <c r="A177" s="33">
        <v>1955</v>
      </c>
      <c r="B177" s="38">
        <v>2372.7582449890183</v>
      </c>
      <c r="C177" s="38">
        <v>1523.0383307880061</v>
      </c>
      <c r="D177">
        <v>5196.8169260195045</v>
      </c>
      <c r="E177">
        <v>7395.3593151610721</v>
      </c>
      <c r="F177" t="s">
        <v>150</v>
      </c>
    </row>
    <row r="178" spans="1:6" x14ac:dyDescent="0.25">
      <c r="A178" s="33">
        <v>1956</v>
      </c>
      <c r="B178" s="38">
        <v>2390.6360115361254</v>
      </c>
      <c r="C178" s="38">
        <v>1547.4586813474473</v>
      </c>
      <c r="D178">
        <v>5295.3266226031719</v>
      </c>
      <c r="E178">
        <v>7438.7586978623622</v>
      </c>
      <c r="F178" t="s">
        <v>150</v>
      </c>
    </row>
    <row r="179" spans="1:6" x14ac:dyDescent="0.25">
      <c r="A179" s="33">
        <v>1957</v>
      </c>
      <c r="B179" s="38">
        <v>2399.9735468600602</v>
      </c>
      <c r="C179" s="38">
        <v>1578.2917405932117</v>
      </c>
      <c r="D179">
        <v>5490.0555041628122</v>
      </c>
      <c r="E179">
        <v>7965.0949423006341</v>
      </c>
      <c r="F179" t="s">
        <v>150</v>
      </c>
    </row>
    <row r="180" spans="1:6" x14ac:dyDescent="0.25">
      <c r="A180" s="33">
        <v>1958</v>
      </c>
      <c r="B180" s="38">
        <v>2382.5605047961076</v>
      </c>
      <c r="C180" s="38">
        <v>1625.4647331418603</v>
      </c>
      <c r="D180">
        <v>5474.3336850314236</v>
      </c>
      <c r="E180">
        <v>8095.2229082117647</v>
      </c>
      <c r="F180" t="s">
        <v>150</v>
      </c>
    </row>
    <row r="181" spans="1:6" x14ac:dyDescent="0.25">
      <c r="A181" s="33">
        <v>1959</v>
      </c>
      <c r="B181" s="38">
        <v>2473.468494626371</v>
      </c>
      <c r="C181" s="38">
        <v>1580.840046802316</v>
      </c>
      <c r="D181">
        <v>5753.5212870048017</v>
      </c>
      <c r="E181">
        <v>8637.1550306644294</v>
      </c>
      <c r="F181" t="s">
        <v>150</v>
      </c>
    </row>
    <row r="182" spans="1:6" x14ac:dyDescent="0.25">
      <c r="A182" s="33">
        <v>1960</v>
      </c>
      <c r="B182" s="38">
        <v>2496.8144944748319</v>
      </c>
      <c r="C182" s="38">
        <v>1555.3500375483493</v>
      </c>
      <c r="D182">
        <v>6230.3594003973267</v>
      </c>
      <c r="E182">
        <v>8811.831477843265</v>
      </c>
      <c r="F182" t="s">
        <v>150</v>
      </c>
    </row>
    <row r="183" spans="1:6" x14ac:dyDescent="0.25">
      <c r="A183" s="33">
        <v>1961</v>
      </c>
      <c r="B183" s="38">
        <v>2539.85706832505</v>
      </c>
      <c r="C183" s="38">
        <v>1588.0275686894663</v>
      </c>
      <c r="D183">
        <v>6657.9182623463239</v>
      </c>
      <c r="E183">
        <v>9311.8663929609356</v>
      </c>
      <c r="F183" t="s">
        <v>150</v>
      </c>
    </row>
    <row r="184" spans="1:6" x14ac:dyDescent="0.25">
      <c r="A184" s="33">
        <v>1962</v>
      </c>
      <c r="B184" s="38">
        <v>2593.7859074297098</v>
      </c>
      <c r="C184" s="38">
        <v>1656.870564574913</v>
      </c>
      <c r="D184">
        <v>6818.9666439048651</v>
      </c>
      <c r="E184">
        <v>9747.3605516280859</v>
      </c>
      <c r="F184" t="s">
        <v>150</v>
      </c>
    </row>
    <row r="185" spans="1:6" x14ac:dyDescent="0.25">
      <c r="A185" s="33">
        <v>1963</v>
      </c>
      <c r="B185" s="38">
        <v>2597.2276215166098</v>
      </c>
      <c r="C185" s="38">
        <v>1659.1436956176974</v>
      </c>
      <c r="D185">
        <v>6993.9948829496279</v>
      </c>
      <c r="E185">
        <v>9731.6603392405686</v>
      </c>
      <c r="F185" t="s">
        <v>150</v>
      </c>
    </row>
    <row r="186" spans="1:6" x14ac:dyDescent="0.25">
      <c r="A186" s="33">
        <v>1964</v>
      </c>
      <c r="B186" s="38">
        <v>2674.9032614704256</v>
      </c>
      <c r="C186" s="38">
        <v>1687.1888521679359</v>
      </c>
      <c r="D186">
        <v>7306.7337591985479</v>
      </c>
      <c r="E186">
        <v>10559.575066242303</v>
      </c>
      <c r="F186" t="s">
        <v>150</v>
      </c>
    </row>
    <row r="187" spans="1:6" x14ac:dyDescent="0.25">
      <c r="A187" s="33">
        <v>1965</v>
      </c>
      <c r="B187" s="38">
        <v>2688.8088307655594</v>
      </c>
      <c r="C187" s="38">
        <v>1738.5630612717912</v>
      </c>
      <c r="D187">
        <v>7669.6002306883929</v>
      </c>
      <c r="E187">
        <v>10953.321704041527</v>
      </c>
      <c r="F187" t="s">
        <v>150</v>
      </c>
    </row>
    <row r="188" spans="1:6" x14ac:dyDescent="0.25">
      <c r="A188" s="33">
        <v>1966</v>
      </c>
      <c r="B188" s="38">
        <v>2750.0644212719976</v>
      </c>
      <c r="C188" s="38">
        <v>1712.062885438535</v>
      </c>
      <c r="D188">
        <v>7824.4979282315217</v>
      </c>
      <c r="E188">
        <v>11159.770713913496</v>
      </c>
      <c r="F188" t="s">
        <v>150</v>
      </c>
    </row>
    <row r="189" spans="1:6" x14ac:dyDescent="0.25">
      <c r="A189" s="33">
        <v>1967</v>
      </c>
      <c r="B189" s="38">
        <v>2784.2503959339865</v>
      </c>
      <c r="C189" s="38">
        <v>1773.6130263091759</v>
      </c>
      <c r="D189">
        <v>7946.5988556897655</v>
      </c>
      <c r="E189">
        <v>11436.513185087211</v>
      </c>
      <c r="F189" t="s">
        <v>150</v>
      </c>
    </row>
    <row r="190" spans="1:6" x14ac:dyDescent="0.25">
      <c r="A190" s="33">
        <v>1968</v>
      </c>
      <c r="B190" s="38">
        <v>2873.6818562849057</v>
      </c>
      <c r="C190" s="38">
        <v>1788.6468175963344</v>
      </c>
      <c r="D190">
        <v>8092.9970567186338</v>
      </c>
      <c r="E190">
        <v>11836.747272615208</v>
      </c>
      <c r="F190" t="s">
        <v>150</v>
      </c>
    </row>
    <row r="191" spans="1:6" x14ac:dyDescent="0.25">
      <c r="A191" s="33">
        <v>1969</v>
      </c>
      <c r="B191" s="38">
        <v>2976.4523118825214</v>
      </c>
      <c r="C191" s="38">
        <v>1809.5657000863534</v>
      </c>
      <c r="D191">
        <v>8877.5754062959259</v>
      </c>
      <c r="E191">
        <v>12530.550411424816</v>
      </c>
      <c r="F191" t="s">
        <v>150</v>
      </c>
    </row>
    <row r="192" spans="1:6" x14ac:dyDescent="0.25">
      <c r="A192" s="33">
        <v>1970</v>
      </c>
      <c r="B192" s="38">
        <v>3094.2164359319218</v>
      </c>
      <c r="C192" s="38">
        <v>1871.7813617249783</v>
      </c>
      <c r="D192">
        <v>9576.8692794466369</v>
      </c>
      <c r="E192">
        <v>12685.551346921749</v>
      </c>
      <c r="F192" t="s">
        <v>150</v>
      </c>
    </row>
    <row r="193" spans="1:6" x14ac:dyDescent="0.25">
      <c r="A193" s="33">
        <v>1971</v>
      </c>
      <c r="B193" s="38">
        <v>3194.2592999211233</v>
      </c>
      <c r="C193" s="38">
        <v>1901.735417080956</v>
      </c>
      <c r="D193">
        <v>9764.6984339536393</v>
      </c>
      <c r="E193">
        <v>12933.582584846727</v>
      </c>
      <c r="F193" t="s">
        <v>150</v>
      </c>
    </row>
    <row r="194" spans="1:6" x14ac:dyDescent="0.25">
      <c r="A194" s="33">
        <v>1972</v>
      </c>
      <c r="B194" s="38">
        <v>3355.2485950115538</v>
      </c>
      <c r="C194" s="38">
        <v>1946.3647965038883</v>
      </c>
      <c r="D194">
        <v>10447.53954872095</v>
      </c>
      <c r="E194">
        <v>13538.355267533672</v>
      </c>
      <c r="F194" t="s">
        <v>150</v>
      </c>
    </row>
    <row r="195" spans="1:6" x14ac:dyDescent="0.25">
      <c r="A195" s="33">
        <v>1973</v>
      </c>
      <c r="B195" s="38">
        <v>3499.3797582589555</v>
      </c>
      <c r="C195" s="38">
        <v>2037.5046416635723</v>
      </c>
      <c r="D195">
        <v>11085.105466450324</v>
      </c>
      <c r="E195">
        <v>13945.427800570347</v>
      </c>
      <c r="F195">
        <v>8657.278379627398</v>
      </c>
    </row>
    <row r="196" spans="1:6" x14ac:dyDescent="0.25">
      <c r="A196" s="33">
        <v>1974</v>
      </c>
      <c r="B196" s="38">
        <v>3617.6794643613866</v>
      </c>
      <c r="C196" s="38">
        <v>2143.1146359048307</v>
      </c>
      <c r="D196">
        <v>11361.296080181231</v>
      </c>
      <c r="E196">
        <v>13751.222177802418</v>
      </c>
      <c r="F196" t="s">
        <v>150</v>
      </c>
    </row>
    <row r="197" spans="1:6" x14ac:dyDescent="0.25">
      <c r="A197" s="33">
        <v>1975</v>
      </c>
      <c r="B197" s="38">
        <v>3620.6010362694296</v>
      </c>
      <c r="C197" s="38">
        <v>2218.7938288920054</v>
      </c>
      <c r="D197">
        <v>11441.302752725864</v>
      </c>
      <c r="E197">
        <v>13621.125165296044</v>
      </c>
      <c r="F197" t="s">
        <v>150</v>
      </c>
    </row>
    <row r="198" spans="1:6" x14ac:dyDescent="0.25">
      <c r="A198" s="33">
        <v>1976</v>
      </c>
      <c r="B198" s="38">
        <v>3713.2884162675541</v>
      </c>
      <c r="C198" s="38">
        <v>2312.7994524298424</v>
      </c>
      <c r="D198">
        <v>11358.403813728612</v>
      </c>
      <c r="E198">
        <v>14466.360025517508</v>
      </c>
      <c r="F198" t="s">
        <v>150</v>
      </c>
    </row>
    <row r="199" spans="1:6" x14ac:dyDescent="0.25">
      <c r="A199" s="33">
        <v>1977</v>
      </c>
      <c r="B199" s="38">
        <v>3793.2640630598353</v>
      </c>
      <c r="C199" s="38">
        <v>2503.5152326749248</v>
      </c>
      <c r="D199">
        <v>11354.528960506041</v>
      </c>
      <c r="E199">
        <v>14655.436197372899</v>
      </c>
      <c r="F199" t="s">
        <v>150</v>
      </c>
    </row>
    <row r="200" spans="1:6" x14ac:dyDescent="0.25">
      <c r="A200" s="33">
        <v>1978</v>
      </c>
      <c r="B200" s="38">
        <v>4041.6813294232652</v>
      </c>
      <c r="C200" s="38">
        <v>2716.7648984937787</v>
      </c>
      <c r="D200">
        <v>11558.900862867087</v>
      </c>
      <c r="E200">
        <v>14825.693192355306</v>
      </c>
      <c r="F200" t="s">
        <v>150</v>
      </c>
    </row>
    <row r="201" spans="1:6" x14ac:dyDescent="0.25">
      <c r="A201" s="33">
        <v>1979</v>
      </c>
      <c r="B201" s="38">
        <v>4177.1248849340291</v>
      </c>
      <c r="C201" s="38">
        <v>2951.6335682254967</v>
      </c>
      <c r="D201">
        <v>12331.547277997101</v>
      </c>
      <c r="E201">
        <v>15313.47717323327</v>
      </c>
      <c r="F201" t="s">
        <v>150</v>
      </c>
    </row>
    <row r="202" spans="1:6" x14ac:dyDescent="0.25">
      <c r="A202" s="33">
        <v>1980</v>
      </c>
      <c r="B202" s="38">
        <v>4257.2565806766552</v>
      </c>
      <c r="C202" s="38">
        <v>3300.6883604505633</v>
      </c>
      <c r="D202">
        <v>12948.958423779721</v>
      </c>
      <c r="E202">
        <v>15227.325563577939</v>
      </c>
      <c r="F202" t="s">
        <v>150</v>
      </c>
    </row>
    <row r="203" spans="1:6" x14ac:dyDescent="0.25">
      <c r="A203" s="33">
        <v>1981</v>
      </c>
      <c r="B203" s="38">
        <v>4254.6022414109866</v>
      </c>
      <c r="C203" s="38">
        <v>3494.3580359865814</v>
      </c>
      <c r="D203">
        <v>13134.056838759625</v>
      </c>
      <c r="E203">
        <v>15096.146261343198</v>
      </c>
      <c r="F203" t="s">
        <v>150</v>
      </c>
    </row>
    <row r="204" spans="1:6" x14ac:dyDescent="0.25">
      <c r="A204" s="33">
        <v>1982</v>
      </c>
      <c r="B204" s="38">
        <v>4202.4725077265866</v>
      </c>
      <c r="C204" s="38">
        <v>3281.3056379821955</v>
      </c>
      <c r="D204">
        <v>13484.753154850088</v>
      </c>
      <c r="E204">
        <v>15563.29758236433</v>
      </c>
      <c r="F204" t="s">
        <v>150</v>
      </c>
    </row>
    <row r="205" spans="1:6" x14ac:dyDescent="0.25">
      <c r="A205" s="33">
        <v>1983</v>
      </c>
      <c r="B205" s="38">
        <v>4175.2240379546656</v>
      </c>
      <c r="C205" s="38">
        <v>3093.1641188347276</v>
      </c>
      <c r="D205">
        <v>13766.872393702606</v>
      </c>
      <c r="E205">
        <v>15966.221750516252</v>
      </c>
      <c r="F205" t="s">
        <v>150</v>
      </c>
    </row>
    <row r="206" spans="1:6" x14ac:dyDescent="0.25">
      <c r="A206" s="33">
        <v>1984</v>
      </c>
      <c r="B206" s="38">
        <v>4228.6568600494911</v>
      </c>
      <c r="C206" s="38">
        <v>3100.0560538116592</v>
      </c>
      <c r="D206">
        <v>14106.716637428746</v>
      </c>
      <c r="E206">
        <v>16675.929876620306</v>
      </c>
      <c r="F206" t="s">
        <v>150</v>
      </c>
    </row>
    <row r="207" spans="1:6" x14ac:dyDescent="0.25">
      <c r="A207" s="33">
        <v>1985</v>
      </c>
      <c r="B207" s="38">
        <v>4271.7493613016004</v>
      </c>
      <c r="C207" s="38">
        <v>3131.2278791178874</v>
      </c>
      <c r="D207">
        <v>14522.062686169502</v>
      </c>
      <c r="E207">
        <v>17384.116482595447</v>
      </c>
      <c r="F207" t="s">
        <v>150</v>
      </c>
    </row>
    <row r="208" spans="1:6" x14ac:dyDescent="0.25">
      <c r="A208" s="33">
        <v>1986</v>
      </c>
      <c r="B208" s="38">
        <v>4435.6578947368416</v>
      </c>
      <c r="C208" s="38">
        <v>3037.820682359164</v>
      </c>
      <c r="D208">
        <v>14819.458956445556</v>
      </c>
      <c r="E208">
        <v>17993.240548739646</v>
      </c>
      <c r="F208" t="s">
        <v>150</v>
      </c>
    </row>
    <row r="209" spans="1:6" x14ac:dyDescent="0.25">
      <c r="A209" s="33">
        <v>1987</v>
      </c>
      <c r="B209" s="38">
        <v>4577.2179627601308</v>
      </c>
      <c r="C209" s="38">
        <v>3079.3732340097613</v>
      </c>
      <c r="D209">
        <v>15382.232073173524</v>
      </c>
      <c r="E209">
        <v>18023.321131322966</v>
      </c>
      <c r="F209" t="s">
        <v>150</v>
      </c>
    </row>
    <row r="210" spans="1:6" x14ac:dyDescent="0.25">
      <c r="A210" s="33">
        <v>1988</v>
      </c>
      <c r="B210" s="38">
        <v>4669.4661067786446</v>
      </c>
      <c r="C210" s="38">
        <v>3185.4255053656102</v>
      </c>
      <c r="D210">
        <v>16087.912727707921</v>
      </c>
      <c r="E210">
        <v>18224.331496382896</v>
      </c>
      <c r="F210" t="s">
        <v>150</v>
      </c>
    </row>
    <row r="211" spans="1:6" x14ac:dyDescent="0.25">
      <c r="A211" s="33">
        <v>1989</v>
      </c>
      <c r="B211" s="38">
        <v>4726.0965115919143</v>
      </c>
      <c r="C211" s="38">
        <v>3275.7032007759458</v>
      </c>
      <c r="D211">
        <v>16945.69265407891</v>
      </c>
      <c r="E211">
        <v>18261.334962659228</v>
      </c>
      <c r="F211" t="s">
        <v>150</v>
      </c>
    </row>
    <row r="212" spans="1:6" x14ac:dyDescent="0.25">
      <c r="A212" s="33">
        <v>1990</v>
      </c>
      <c r="B212" s="40">
        <v>4825.7426343417173</v>
      </c>
      <c r="C212" s="38">
        <v>3280.6314797360978</v>
      </c>
      <c r="D212">
        <v>16866.375342680032</v>
      </c>
      <c r="E212">
        <v>18452.426108015057</v>
      </c>
      <c r="F212">
        <v>10819.97298192848</v>
      </c>
    </row>
    <row r="213" spans="1:6" x14ac:dyDescent="0.25">
      <c r="A213" s="33">
        <v>1991</v>
      </c>
      <c r="B213" s="40">
        <v>4840.1868361494426</v>
      </c>
      <c r="C213" s="38">
        <v>3267.9184795053811</v>
      </c>
      <c r="D213">
        <v>15767.888164442469</v>
      </c>
      <c r="E213">
        <v>18643.790196630031</v>
      </c>
      <c r="F213">
        <v>9798.9804751370593</v>
      </c>
    </row>
    <row r="214" spans="1:6" x14ac:dyDescent="0.25">
      <c r="A214" s="33">
        <v>1992</v>
      </c>
      <c r="B214" s="40">
        <v>4950.2109276826441</v>
      </c>
      <c r="C214" s="38">
        <v>3230.3583351880707</v>
      </c>
      <c r="D214">
        <v>15136.114769968101</v>
      </c>
      <c r="E214">
        <v>18949.444926799177</v>
      </c>
      <c r="F214">
        <v>8587.0793866764343</v>
      </c>
    </row>
    <row r="215" spans="1:6" x14ac:dyDescent="0.25">
      <c r="A215" s="33">
        <v>1993</v>
      </c>
      <c r="B215" s="40">
        <v>5131.0170342771044</v>
      </c>
      <c r="C215" s="38">
        <v>3265.6858502812634</v>
      </c>
      <c r="D215">
        <v>14942.82752697513</v>
      </c>
      <c r="E215">
        <v>18870.43379545485</v>
      </c>
      <c r="F215">
        <v>8053.6263854153403</v>
      </c>
    </row>
    <row r="216" spans="1:6" x14ac:dyDescent="0.25">
      <c r="A216" s="33">
        <v>1994</v>
      </c>
      <c r="B216" s="40">
        <v>5292.5983783256597</v>
      </c>
      <c r="C216" s="38">
        <v>3270.2986958350862</v>
      </c>
      <c r="D216">
        <v>15424.269176019063</v>
      </c>
      <c r="E216">
        <v>19847.266405409555</v>
      </c>
      <c r="F216">
        <v>8050.3768210747248</v>
      </c>
    </row>
    <row r="217" spans="1:6" x14ac:dyDescent="0.25">
      <c r="A217" s="33">
        <v>1995</v>
      </c>
      <c r="B217" s="40">
        <v>5469.7551026701058</v>
      </c>
      <c r="C217" s="38">
        <v>3324.5344792306119</v>
      </c>
      <c r="D217">
        <v>15976.987648516548</v>
      </c>
      <c r="E217">
        <v>20350.029908592463</v>
      </c>
      <c r="F217">
        <v>8700.7348722096631</v>
      </c>
    </row>
    <row r="218" spans="1:6" x14ac:dyDescent="0.25">
      <c r="A218" s="33">
        <v>1996</v>
      </c>
      <c r="B218" s="40">
        <v>5497.0275163494725</v>
      </c>
      <c r="C218" s="38">
        <v>3275.875796178344</v>
      </c>
      <c r="D218">
        <v>16496.669146985241</v>
      </c>
      <c r="E218">
        <v>20809.660818535638</v>
      </c>
      <c r="F218">
        <v>9333.6811805326961</v>
      </c>
    </row>
    <row r="219" spans="1:6" x14ac:dyDescent="0.25">
      <c r="A219" s="33">
        <v>1997</v>
      </c>
      <c r="B219" s="40">
        <v>5606.6952161826466</v>
      </c>
      <c r="C219" s="38">
        <v>3271.2127082526154</v>
      </c>
      <c r="D219">
        <v>17472.303536336211</v>
      </c>
      <c r="E219">
        <v>21387.538183758985</v>
      </c>
      <c r="F219">
        <v>10535.946510064739</v>
      </c>
    </row>
    <row r="220" spans="1:6" x14ac:dyDescent="0.25">
      <c r="A220" s="33">
        <v>1998</v>
      </c>
      <c r="B220" s="40">
        <v>5562.8356798447421</v>
      </c>
      <c r="C220" s="38">
        <v>3171.6009805770318</v>
      </c>
      <c r="D220">
        <v>18306.525379931536</v>
      </c>
      <c r="E220">
        <v>21770.86503846103</v>
      </c>
      <c r="F220">
        <v>11352.891211089458</v>
      </c>
    </row>
    <row r="221" spans="1:6" x14ac:dyDescent="0.25">
      <c r="A221" s="33">
        <v>1999</v>
      </c>
      <c r="B221" s="40">
        <v>5269.3784863384044</v>
      </c>
      <c r="C221" s="38">
        <v>3103.1760602166328</v>
      </c>
      <c r="D221">
        <v>18981.002694790717</v>
      </c>
      <c r="E221">
        <v>22255.437367132006</v>
      </c>
      <c r="F221">
        <v>11413.373532120655</v>
      </c>
    </row>
    <row r="222" spans="1:6" x14ac:dyDescent="0.25">
      <c r="A222" s="33">
        <v>2000</v>
      </c>
      <c r="B222" s="40">
        <v>5375.205430658656</v>
      </c>
      <c r="C222" s="38">
        <v>3010.5507868383406</v>
      </c>
      <c r="D222">
        <v>19950.891924312193</v>
      </c>
      <c r="E222">
        <v>22966.1184617287</v>
      </c>
      <c r="F222">
        <v>12610.106968923936</v>
      </c>
    </row>
    <row r="223" spans="1:6" x14ac:dyDescent="0.25">
      <c r="A223" s="33">
        <v>2001</v>
      </c>
      <c r="B223" s="40">
        <v>5409.4944048900388</v>
      </c>
      <c r="C223" s="38">
        <v>2993.7282229965158</v>
      </c>
      <c r="D223">
        <v>20360.391559578478</v>
      </c>
      <c r="E223">
        <v>23048.491083548211</v>
      </c>
      <c r="F223">
        <v>13498.817500985415</v>
      </c>
    </row>
    <row r="224" spans="1:6" x14ac:dyDescent="0.25">
      <c r="A224" s="33">
        <v>2002</v>
      </c>
      <c r="B224" s="40">
        <v>5476.339362080872</v>
      </c>
      <c r="C224" s="38">
        <v>2915.7894736842109</v>
      </c>
      <c r="D224">
        <v>20683.000708640793</v>
      </c>
      <c r="E224">
        <v>23074.607093618426</v>
      </c>
      <c r="F224">
        <v>14488.677469635035</v>
      </c>
    </row>
    <row r="225" spans="1:6" x14ac:dyDescent="0.25">
      <c r="A225" s="33">
        <v>2003</v>
      </c>
      <c r="B225" s="40">
        <v>5613.9029427643773</v>
      </c>
      <c r="C225" s="38">
        <v>2951.1670253269326</v>
      </c>
      <c r="D225">
        <v>21053.137627512053</v>
      </c>
      <c r="E225">
        <v>23079.654958899842</v>
      </c>
      <c r="F225">
        <v>15722.362887941244</v>
      </c>
    </row>
    <row r="226" spans="1:6" x14ac:dyDescent="0.25">
      <c r="A226" s="33">
        <v>2004</v>
      </c>
      <c r="B226" s="40">
        <v>5830.7635703345131</v>
      </c>
      <c r="C226" s="38">
        <v>2995.8030669895079</v>
      </c>
      <c r="D226">
        <v>21879.093145856466</v>
      </c>
      <c r="E226">
        <v>23525.718634718723</v>
      </c>
      <c r="F226">
        <v>16832.602894921216</v>
      </c>
    </row>
    <row r="227" spans="1:6" x14ac:dyDescent="0.25">
      <c r="A227" s="33">
        <v>2005</v>
      </c>
      <c r="B227" s="40">
        <v>6021.9563021852782</v>
      </c>
      <c r="C227" s="38">
        <v>3006.9280428279012</v>
      </c>
      <c r="D227">
        <v>22478.604138269035</v>
      </c>
      <c r="E227">
        <v>24016.885909203032</v>
      </c>
      <c r="F227">
        <v>18443.374922161616</v>
      </c>
    </row>
    <row r="228" spans="1:6" x14ac:dyDescent="0.25">
      <c r="A228" s="33">
        <v>2006</v>
      </c>
      <c r="B228" s="40">
        <v>6339.9360649416394</v>
      </c>
      <c r="C228" s="38">
        <v>3060.0706713780919</v>
      </c>
      <c r="D228">
        <v>23434.467453076344</v>
      </c>
      <c r="E228">
        <v>24748.725842375054</v>
      </c>
      <c r="F228">
        <v>20436.832209494616</v>
      </c>
    </row>
    <row r="229" spans="1:6" x14ac:dyDescent="0.25">
      <c r="A229" s="33">
        <v>2007</v>
      </c>
      <c r="B229" s="40">
        <v>6689.7531994910369</v>
      </c>
      <c r="C229" s="38">
        <v>3189.6836107362424</v>
      </c>
      <c r="D229">
        <v>24651.340279395088</v>
      </c>
      <c r="E229">
        <v>25060.287630849358</v>
      </c>
      <c r="F229">
        <v>22108.654847215996</v>
      </c>
    </row>
    <row r="230" spans="1:6" x14ac:dyDescent="0.25">
      <c r="A230" s="33">
        <v>2008</v>
      </c>
      <c r="B230" s="40">
        <v>6839.7109119097304</v>
      </c>
      <c r="C230" s="38">
        <v>3294.6859903381642</v>
      </c>
      <c r="D230">
        <v>24694.057867391202</v>
      </c>
      <c r="E230">
        <v>24788.599964993653</v>
      </c>
      <c r="F230">
        <v>21432.200732634348</v>
      </c>
    </row>
    <row r="231" spans="1:6" x14ac:dyDescent="0.25">
      <c r="A231" s="33">
        <v>2009</v>
      </c>
      <c r="B231" s="40">
        <v>6853.8228112303323</v>
      </c>
      <c r="D231">
        <v>22561.739564366093</v>
      </c>
      <c r="E231">
        <v>23275.489000110898</v>
      </c>
      <c r="F231">
        <v>18493.069718401999</v>
      </c>
    </row>
    <row r="232" spans="1:6" x14ac:dyDescent="0.25">
      <c r="A232" s="33">
        <v>2010</v>
      </c>
      <c r="B232" s="40">
        <v>7062.5047068853282</v>
      </c>
      <c r="D232">
        <v>23290.483285665083</v>
      </c>
      <c r="E232">
        <v>23512.631491157776</v>
      </c>
      <c r="F232">
        <v>19031.661206502631</v>
      </c>
    </row>
    <row r="233" spans="1:6" x14ac:dyDescent="0.25">
      <c r="B233" s="38"/>
      <c r="C233" s="38"/>
    </row>
    <row r="234" spans="1:6" x14ac:dyDescent="0.25">
      <c r="A234" s="33"/>
    </row>
    <row r="235" spans="1:6" x14ac:dyDescent="0.25">
      <c r="A235" s="33"/>
    </row>
    <row r="236" spans="1:6" x14ac:dyDescent="0.25">
      <c r="A236" s="33"/>
    </row>
    <row r="237" spans="1:6" x14ac:dyDescent="0.25">
      <c r="A237" s="33"/>
    </row>
    <row r="238" spans="1:6" x14ac:dyDescent="0.25">
      <c r="A238" s="33"/>
    </row>
    <row r="239" spans="1:6" x14ac:dyDescent="0.25">
      <c r="A239" s="33"/>
    </row>
    <row r="240" spans="1:6" x14ac:dyDescent="0.25">
      <c r="A240" s="33"/>
    </row>
    <row r="241" spans="1:3" x14ac:dyDescent="0.25">
      <c r="A241" s="33"/>
      <c r="B241" s="36"/>
      <c r="C241" s="36"/>
    </row>
    <row r="242" spans="1:3" x14ac:dyDescent="0.25">
      <c r="A242" s="33"/>
      <c r="B242" s="36"/>
      <c r="C242" s="36"/>
    </row>
    <row r="243" spans="1:3" x14ac:dyDescent="0.25">
      <c r="A243" s="33"/>
      <c r="B243" s="36"/>
      <c r="C243" s="36"/>
    </row>
    <row r="244" spans="1:3" x14ac:dyDescent="0.25">
      <c r="A244" s="33"/>
      <c r="B244" s="36"/>
      <c r="C244" s="36"/>
    </row>
    <row r="245" spans="1:3" x14ac:dyDescent="0.25">
      <c r="A245" s="33"/>
      <c r="B245" s="36"/>
      <c r="C245" s="36"/>
    </row>
    <row r="246" spans="1:3" x14ac:dyDescent="0.25">
      <c r="A246" s="33"/>
      <c r="B246" s="36"/>
      <c r="C246" s="36"/>
    </row>
    <row r="247" spans="1:3" x14ac:dyDescent="0.25">
      <c r="A247" s="33"/>
      <c r="B247" s="36"/>
      <c r="C247" s="36"/>
    </row>
    <row r="248" spans="1:3" x14ac:dyDescent="0.25">
      <c r="A248" s="33"/>
      <c r="B248" s="36"/>
      <c r="C248" s="36"/>
    </row>
    <row r="249" spans="1:3" x14ac:dyDescent="0.25">
      <c r="A249" s="33"/>
      <c r="B249" s="36"/>
      <c r="C249" s="36"/>
    </row>
    <row r="250" spans="1:3" x14ac:dyDescent="0.25">
      <c r="A250" s="33"/>
      <c r="B250" s="36"/>
      <c r="C250" s="36"/>
    </row>
    <row r="251" spans="1:3" x14ac:dyDescent="0.25">
      <c r="A251" s="33"/>
      <c r="B251" s="36"/>
      <c r="C251" s="36"/>
    </row>
    <row r="252" spans="1:3" x14ac:dyDescent="0.25">
      <c r="A252" s="33"/>
      <c r="B252" s="36"/>
      <c r="C252" s="36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"/>
  <sheetViews>
    <sheetView workbookViewId="0">
      <selection activeCell="D2" sqref="D2"/>
    </sheetView>
  </sheetViews>
  <sheetFormatPr defaultRowHeight="15" x14ac:dyDescent="0.25"/>
  <sheetData>
    <row r="1" spans="1:18" x14ac:dyDescent="0.25">
      <c r="B1" s="49" t="s">
        <v>119</v>
      </c>
      <c r="C1" s="49" t="s">
        <v>120</v>
      </c>
      <c r="D1" s="49" t="s">
        <v>121</v>
      </c>
      <c r="E1" s="49" t="s">
        <v>122</v>
      </c>
      <c r="F1" s="49">
        <v>2000</v>
      </c>
      <c r="G1" s="49">
        <v>2005</v>
      </c>
      <c r="H1" s="49">
        <v>2010</v>
      </c>
      <c r="I1" s="49">
        <v>2020</v>
      </c>
      <c r="J1" s="49">
        <v>2030</v>
      </c>
      <c r="K1" s="49">
        <v>2040</v>
      </c>
      <c r="L1" s="49">
        <v>2050</v>
      </c>
      <c r="M1" s="49">
        <v>2060</v>
      </c>
      <c r="N1" s="49">
        <v>2070</v>
      </c>
      <c r="O1" s="49">
        <v>2080</v>
      </c>
      <c r="P1" s="49">
        <v>2090</v>
      </c>
      <c r="Q1" s="49">
        <v>2100</v>
      </c>
      <c r="R1" s="49" t="s">
        <v>17</v>
      </c>
    </row>
    <row r="2" spans="1:18" x14ac:dyDescent="0.25">
      <c r="A2" t="s">
        <v>124</v>
      </c>
      <c r="B2" s="47" t="s">
        <v>131</v>
      </c>
      <c r="C2" s="47" t="s">
        <v>118</v>
      </c>
      <c r="D2" s="47" t="s">
        <v>132</v>
      </c>
      <c r="E2" s="47" t="s">
        <v>134</v>
      </c>
      <c r="F2" s="48">
        <f>F7*2.12</f>
        <v>881.61855719999994</v>
      </c>
      <c r="G2" s="48">
        <f t="shared" ref="G2:Q2" si="0">G7*2.12</f>
        <v>908.74516560000006</v>
      </c>
      <c r="H2" s="48">
        <f t="shared" si="0"/>
        <v>938.65317159999995</v>
      </c>
      <c r="I2" s="48">
        <f t="shared" si="0"/>
        <v>998.13992640000004</v>
      </c>
      <c r="J2" s="48">
        <f t="shared" si="0"/>
        <v>1040.2817316000001</v>
      </c>
      <c r="K2" s="48">
        <f t="shared" si="0"/>
        <v>1063.0370908</v>
      </c>
      <c r="L2" s="48">
        <f t="shared" si="0"/>
        <v>1067.0395236000002</v>
      </c>
      <c r="M2" s="48">
        <f t="shared" si="0"/>
        <v>1059.881386</v>
      </c>
      <c r="N2" s="48">
        <f t="shared" si="0"/>
        <v>1047.7545196000001</v>
      </c>
      <c r="O2" s="48">
        <f t="shared" si="0"/>
        <v>1033.9607608000001</v>
      </c>
      <c r="P2" s="48">
        <f t="shared" si="0"/>
        <v>1020.555386</v>
      </c>
      <c r="Q2" s="48">
        <f t="shared" si="0"/>
        <v>1007.40863</v>
      </c>
    </row>
    <row r="3" spans="1:18" x14ac:dyDescent="0.25">
      <c r="A3" t="s">
        <v>125</v>
      </c>
      <c r="B3" s="47" t="s">
        <v>131</v>
      </c>
      <c r="C3" s="47" t="s">
        <v>123</v>
      </c>
      <c r="D3" s="47" t="s">
        <v>132</v>
      </c>
      <c r="E3" s="47" t="s">
        <v>134</v>
      </c>
      <c r="F3" s="48">
        <f t="shared" ref="F3:Q5" si="1">F8*2.12</f>
        <v>881.61855719999994</v>
      </c>
      <c r="G3" s="48">
        <f t="shared" si="1"/>
        <v>908.74516560000006</v>
      </c>
      <c r="H3" s="48">
        <f t="shared" si="1"/>
        <v>937.78823280000006</v>
      </c>
      <c r="I3" s="48">
        <f t="shared" si="1"/>
        <v>1000.5514476000001</v>
      </c>
      <c r="J3" s="48">
        <f t="shared" si="1"/>
        <v>1068.0541768000001</v>
      </c>
      <c r="K3" s="48">
        <f t="shared" si="1"/>
        <v>1138.9385179999999</v>
      </c>
      <c r="L3" s="48">
        <f t="shared" si="1"/>
        <v>1207.7963936000001</v>
      </c>
      <c r="M3" s="48">
        <f t="shared" si="1"/>
        <v>1265.6261140000001</v>
      </c>
      <c r="N3" s="48">
        <f t="shared" si="1"/>
        <v>1303.3116792000001</v>
      </c>
      <c r="O3" s="48">
        <f t="shared" si="1"/>
        <v>1317.5372820000002</v>
      </c>
      <c r="P3" s="48">
        <f t="shared" si="1"/>
        <v>1322.5722184000001</v>
      </c>
      <c r="Q3" s="48">
        <f t="shared" si="1"/>
        <v>1334.7340224</v>
      </c>
    </row>
    <row r="4" spans="1:18" x14ac:dyDescent="0.25">
      <c r="A4" t="s">
        <v>126</v>
      </c>
      <c r="B4" s="47" t="s">
        <v>131</v>
      </c>
      <c r="C4" s="47" t="s">
        <v>128</v>
      </c>
      <c r="D4" s="47" t="s">
        <v>132</v>
      </c>
      <c r="E4" s="47" t="s">
        <v>134</v>
      </c>
      <c r="F4" s="48">
        <f t="shared" si="1"/>
        <v>881.61855719999994</v>
      </c>
      <c r="G4" s="48">
        <f t="shared" si="1"/>
        <v>908.74516560000006</v>
      </c>
      <c r="H4" s="48">
        <f t="shared" si="1"/>
        <v>937.84532439999998</v>
      </c>
      <c r="I4" s="48">
        <f t="shared" si="1"/>
        <v>994.96747360000006</v>
      </c>
      <c r="J4" s="48">
        <f t="shared" si="1"/>
        <v>1049.3453252000002</v>
      </c>
      <c r="K4" s="48">
        <f t="shared" si="1"/>
        <v>1112.9290860000001</v>
      </c>
      <c r="L4" s="48">
        <f t="shared" si="1"/>
        <v>1191.4936360000002</v>
      </c>
      <c r="M4" s="48">
        <f t="shared" si="1"/>
        <v>1286.1588864</v>
      </c>
      <c r="N4" s="48">
        <f t="shared" si="1"/>
        <v>1396.7136004000001</v>
      </c>
      <c r="O4" s="48">
        <f t="shared" si="1"/>
        <v>1517.8381256</v>
      </c>
      <c r="P4" s="48">
        <f t="shared" si="1"/>
        <v>1620.290878</v>
      </c>
      <c r="Q4" s="48">
        <f t="shared" si="1"/>
        <v>1695.7205416000002</v>
      </c>
    </row>
    <row r="5" spans="1:18" x14ac:dyDescent="0.25">
      <c r="A5" t="s">
        <v>127</v>
      </c>
      <c r="B5" s="47" t="s">
        <v>131</v>
      </c>
      <c r="C5" s="47" t="s">
        <v>129</v>
      </c>
      <c r="D5" s="47" t="s">
        <v>132</v>
      </c>
      <c r="E5" s="47" t="s">
        <v>134</v>
      </c>
      <c r="F5" s="48">
        <f t="shared" si="1"/>
        <v>881.61855719999994</v>
      </c>
      <c r="G5" s="48">
        <f t="shared" si="1"/>
        <v>908.74516560000006</v>
      </c>
      <c r="H5" s="48">
        <f t="shared" si="1"/>
        <v>939.2982452</v>
      </c>
      <c r="I5" s="48">
        <f t="shared" si="1"/>
        <v>1023.4482532</v>
      </c>
      <c r="J5" s="48">
        <f t="shared" si="1"/>
        <v>1132.8284660000002</v>
      </c>
      <c r="K5" s="48">
        <f t="shared" si="1"/>
        <v>1270.6069692000001</v>
      </c>
      <c r="L5" s="48">
        <f t="shared" si="1"/>
        <v>1448.0907616000002</v>
      </c>
      <c r="M5" s="48">
        <f t="shared" si="1"/>
        <v>1665.4800136000001</v>
      </c>
      <c r="N5" s="48">
        <f t="shared" si="1"/>
        <v>1913.3613316000001</v>
      </c>
      <c r="O5" s="48">
        <f t="shared" si="1"/>
        <v>2183.46326</v>
      </c>
      <c r="P5" s="48">
        <f t="shared" si="1"/>
        <v>2475.6255480000004</v>
      </c>
      <c r="Q5" s="48">
        <f t="shared" si="1"/>
        <v>2784.5165440000001</v>
      </c>
    </row>
    <row r="7" spans="1:18" x14ac:dyDescent="0.25">
      <c r="A7" t="s">
        <v>124</v>
      </c>
      <c r="B7" s="47" t="s">
        <v>131</v>
      </c>
      <c r="C7" s="47" t="s">
        <v>118</v>
      </c>
      <c r="D7" s="47" t="s">
        <v>132</v>
      </c>
      <c r="E7" s="47" t="s">
        <v>133</v>
      </c>
      <c r="F7" s="48">
        <v>415.85780999999997</v>
      </c>
      <c r="G7" s="48">
        <v>428.65338000000003</v>
      </c>
      <c r="H7" s="48">
        <v>442.76092999999997</v>
      </c>
      <c r="I7" s="48">
        <v>470.82071999999999</v>
      </c>
      <c r="J7" s="48">
        <v>490.69893000000002</v>
      </c>
      <c r="K7" s="48">
        <v>501.43259</v>
      </c>
      <c r="L7" s="48">
        <v>503.32053000000002</v>
      </c>
      <c r="M7" s="48">
        <v>499.94405</v>
      </c>
      <c r="N7" s="48">
        <v>494.22383000000002</v>
      </c>
      <c r="O7" s="48">
        <v>487.71733999999998</v>
      </c>
      <c r="P7" s="48">
        <v>481.39404999999999</v>
      </c>
      <c r="Q7" s="48">
        <v>475.19274999999999</v>
      </c>
    </row>
    <row r="8" spans="1:18" x14ac:dyDescent="0.25">
      <c r="A8" t="s">
        <v>125</v>
      </c>
      <c r="B8" s="47" t="s">
        <v>131</v>
      </c>
      <c r="C8" s="47" t="s">
        <v>123</v>
      </c>
      <c r="D8" s="47" t="s">
        <v>132</v>
      </c>
      <c r="E8" s="47" t="s">
        <v>133</v>
      </c>
      <c r="F8" s="48">
        <v>415.85780999999997</v>
      </c>
      <c r="G8" s="48">
        <v>428.65338000000003</v>
      </c>
      <c r="H8" s="48">
        <v>442.35293999999999</v>
      </c>
      <c r="I8" s="48">
        <v>471.95823000000001</v>
      </c>
      <c r="J8" s="48">
        <v>503.79914000000002</v>
      </c>
      <c r="K8" s="48">
        <v>537.23514999999998</v>
      </c>
      <c r="L8" s="48">
        <v>569.71528000000001</v>
      </c>
      <c r="M8" s="48">
        <v>596.99345000000005</v>
      </c>
      <c r="N8" s="48">
        <v>614.76966000000004</v>
      </c>
      <c r="O8" s="48">
        <v>621.47985000000006</v>
      </c>
      <c r="P8" s="48">
        <v>623.85482000000002</v>
      </c>
      <c r="Q8" s="48">
        <v>629.59151999999995</v>
      </c>
    </row>
    <row r="9" spans="1:18" x14ac:dyDescent="0.25">
      <c r="A9" t="s">
        <v>126</v>
      </c>
      <c r="B9" s="47" t="s">
        <v>131</v>
      </c>
      <c r="C9" s="47" t="s">
        <v>128</v>
      </c>
      <c r="D9" s="47" t="s">
        <v>132</v>
      </c>
      <c r="E9" s="47" t="s">
        <v>133</v>
      </c>
      <c r="F9" s="48">
        <v>415.85780999999997</v>
      </c>
      <c r="G9" s="48">
        <v>428.65338000000003</v>
      </c>
      <c r="H9" s="48">
        <v>442.37986999999998</v>
      </c>
      <c r="I9" s="48">
        <v>469.32427999999999</v>
      </c>
      <c r="J9" s="48">
        <v>494.97421000000003</v>
      </c>
      <c r="K9" s="48">
        <v>524.96654999999998</v>
      </c>
      <c r="L9" s="48">
        <v>562.02530000000002</v>
      </c>
      <c r="M9" s="48">
        <v>606.67872</v>
      </c>
      <c r="N9" s="48">
        <v>658.82717000000002</v>
      </c>
      <c r="O9" s="48">
        <v>715.96137999999996</v>
      </c>
      <c r="P9" s="48">
        <v>764.28814999999997</v>
      </c>
      <c r="Q9" s="48">
        <v>799.86818000000005</v>
      </c>
    </row>
    <row r="10" spans="1:18" x14ac:dyDescent="0.25">
      <c r="A10" t="s">
        <v>127</v>
      </c>
      <c r="B10" s="47" t="s">
        <v>131</v>
      </c>
      <c r="C10" s="47" t="s">
        <v>129</v>
      </c>
      <c r="D10" s="47" t="s">
        <v>132</v>
      </c>
      <c r="E10" s="47" t="s">
        <v>133</v>
      </c>
      <c r="F10" s="48">
        <v>415.85780999999997</v>
      </c>
      <c r="G10" s="48">
        <v>428.65338000000003</v>
      </c>
      <c r="H10" s="48">
        <v>443.06520999999998</v>
      </c>
      <c r="I10" s="48">
        <v>482.75860999999998</v>
      </c>
      <c r="J10" s="48">
        <v>534.35305000000005</v>
      </c>
      <c r="K10" s="48">
        <v>599.34290999999996</v>
      </c>
      <c r="L10" s="48">
        <v>683.06168000000002</v>
      </c>
      <c r="M10" s="48">
        <v>785.60378000000003</v>
      </c>
      <c r="N10" s="48">
        <v>902.52892999999995</v>
      </c>
      <c r="O10" s="48">
        <v>1029.9355</v>
      </c>
      <c r="P10" s="48">
        <v>1167.7479000000001</v>
      </c>
      <c r="Q10" s="48">
        <v>1313.4512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BR80"/>
  <sheetViews>
    <sheetView topLeftCell="AU13" zoomScale="85" zoomScaleNormal="85" workbookViewId="0">
      <selection activeCell="AW39" sqref="AW39"/>
    </sheetView>
  </sheetViews>
  <sheetFormatPr defaultRowHeight="15" x14ac:dyDescent="0.25"/>
  <cols>
    <col min="6" max="6" width="10" bestFit="1" customWidth="1"/>
    <col min="11" max="11" width="11" bestFit="1" customWidth="1"/>
    <col min="12" max="12" width="10.7109375" bestFit="1" customWidth="1"/>
    <col min="13" max="13" width="11.42578125" bestFit="1" customWidth="1"/>
    <col min="14" max="16" width="9.5703125" bestFit="1" customWidth="1"/>
    <col min="19" max="19" width="14" bestFit="1" customWidth="1"/>
    <col min="20" max="20" width="16" bestFit="1" customWidth="1"/>
    <col min="21" max="24" width="7.42578125" bestFit="1" customWidth="1"/>
    <col min="37" max="37" width="15.28515625" bestFit="1" customWidth="1"/>
    <col min="47" max="47" width="13.85546875" bestFit="1" customWidth="1"/>
    <col min="49" max="49" width="13.85546875" bestFit="1" customWidth="1"/>
    <col min="51" max="51" width="13.85546875" bestFit="1" customWidth="1"/>
    <col min="58" max="58" width="11.28515625" bestFit="1" customWidth="1"/>
    <col min="61" max="61" width="11.28515625" bestFit="1" customWidth="1"/>
    <col min="62" max="62" width="12.7109375" bestFit="1" customWidth="1"/>
  </cols>
  <sheetData>
    <row r="1" spans="1:70" ht="15.75" thickBot="1" x14ac:dyDescent="0.3">
      <c r="B1" s="220" t="s">
        <v>112</v>
      </c>
      <c r="C1" s="221"/>
      <c r="D1" s="221"/>
      <c r="E1" s="221"/>
      <c r="F1" s="221"/>
      <c r="G1" s="221"/>
      <c r="H1" s="222"/>
      <c r="I1" s="223" t="s">
        <v>112</v>
      </c>
      <c r="J1" s="223"/>
      <c r="K1" s="223"/>
      <c r="L1" s="56" t="s">
        <v>114</v>
      </c>
      <c r="M1" s="55" t="s">
        <v>136</v>
      </c>
      <c r="N1" s="211" t="s">
        <v>147</v>
      </c>
      <c r="O1" s="212"/>
      <c r="P1" s="213"/>
      <c r="S1" s="59" t="s">
        <v>115</v>
      </c>
      <c r="T1" s="78" t="s">
        <v>145</v>
      </c>
      <c r="U1" s="218" t="s">
        <v>139</v>
      </c>
      <c r="V1" s="218"/>
      <c r="W1" s="218"/>
      <c r="X1" s="219"/>
      <c r="Y1" s="217" t="s">
        <v>130</v>
      </c>
      <c r="Z1" s="218"/>
      <c r="AA1" s="218"/>
      <c r="AB1" s="219"/>
      <c r="AC1" s="211" t="s">
        <v>164</v>
      </c>
      <c r="AD1" s="212"/>
      <c r="AE1" s="212"/>
      <c r="AF1" s="213"/>
      <c r="AG1" s="214" t="s">
        <v>171</v>
      </c>
      <c r="AH1" s="215"/>
      <c r="AI1" s="215"/>
      <c r="AJ1" s="216"/>
      <c r="AV1" s="9"/>
      <c r="AW1" s="10"/>
      <c r="AX1" s="128" t="s">
        <v>157</v>
      </c>
      <c r="AY1" s="129" t="s">
        <v>158</v>
      </c>
      <c r="AZ1" s="129" t="s">
        <v>172</v>
      </c>
      <c r="BA1" s="129" t="s">
        <v>159</v>
      </c>
      <c r="BB1" s="129" t="s">
        <v>160</v>
      </c>
      <c r="BC1" s="129" t="s">
        <v>185</v>
      </c>
      <c r="BD1" s="129" t="s">
        <v>9</v>
      </c>
      <c r="BE1" s="129" t="s">
        <v>8</v>
      </c>
      <c r="BF1" s="129" t="s">
        <v>11</v>
      </c>
      <c r="BG1" s="129" t="s">
        <v>10</v>
      </c>
      <c r="BH1" s="129" t="s">
        <v>161</v>
      </c>
      <c r="BI1" s="130" t="s">
        <v>176</v>
      </c>
      <c r="BJ1" s="196" t="s">
        <v>187</v>
      </c>
      <c r="BK1" s="195" t="s">
        <v>188</v>
      </c>
      <c r="BL1" s="129" t="s">
        <v>180</v>
      </c>
      <c r="BM1" s="130" t="s">
        <v>181</v>
      </c>
      <c r="BN1" s="188" t="s">
        <v>177</v>
      </c>
      <c r="BO1" s="153" t="s">
        <v>130</v>
      </c>
      <c r="BP1" s="153"/>
      <c r="BQ1" s="153"/>
      <c r="BR1" s="153"/>
    </row>
    <row r="2" spans="1:70" ht="15.75" thickBot="1" x14ac:dyDescent="0.3">
      <c r="B2" s="18" t="s">
        <v>0</v>
      </c>
      <c r="C2" s="19" t="s">
        <v>1</v>
      </c>
      <c r="D2" s="19" t="s">
        <v>2</v>
      </c>
      <c r="E2" s="19" t="s">
        <v>3</v>
      </c>
      <c r="F2" s="19" t="s">
        <v>4</v>
      </c>
      <c r="G2" s="19" t="s">
        <v>5</v>
      </c>
      <c r="H2" s="20" t="s">
        <v>6</v>
      </c>
      <c r="I2" s="21" t="s">
        <v>7</v>
      </c>
      <c r="J2" s="22" t="s">
        <v>8</v>
      </c>
      <c r="K2" s="22" t="s">
        <v>9</v>
      </c>
      <c r="L2" s="57" t="s">
        <v>135</v>
      </c>
      <c r="M2" s="54" t="s">
        <v>137</v>
      </c>
      <c r="N2" s="22" t="s">
        <v>7</v>
      </c>
      <c r="O2" s="22" t="s">
        <v>8</v>
      </c>
      <c r="P2" s="22" t="s">
        <v>9</v>
      </c>
      <c r="Q2" s="46" t="s">
        <v>10</v>
      </c>
      <c r="R2" s="58" t="s">
        <v>11</v>
      </c>
      <c r="S2" s="60" t="s">
        <v>138</v>
      </c>
      <c r="T2" s="79" t="s">
        <v>146</v>
      </c>
      <c r="U2" s="51" t="str">
        <f>RCP!A2</f>
        <v>RCP 2.6</v>
      </c>
      <c r="V2" s="51" t="str">
        <f>RCP!A3</f>
        <v>RCP 4.5</v>
      </c>
      <c r="W2" s="51" t="str">
        <f>RCP!A4</f>
        <v>RCP 6.0</v>
      </c>
      <c r="X2" s="51" t="str">
        <f>RCP!A5</f>
        <v>RCP 8.5</v>
      </c>
      <c r="Y2" s="50" t="str">
        <f>U2</f>
        <v>RCP 2.6</v>
      </c>
      <c r="Z2" s="51" t="str">
        <f t="shared" ref="Z2:AB2" si="0">V2</f>
        <v>RCP 4.5</v>
      </c>
      <c r="AA2" s="51" t="str">
        <f t="shared" si="0"/>
        <v>RCP 6.0</v>
      </c>
      <c r="AB2" s="52" t="str">
        <f t="shared" si="0"/>
        <v>RCP 8.5</v>
      </c>
      <c r="AC2" s="123" t="str">
        <f>Y2</f>
        <v>RCP 2.6</v>
      </c>
      <c r="AD2" s="124" t="str">
        <f t="shared" ref="AD2:AF2" si="1">Z2</f>
        <v>RCP 4.5</v>
      </c>
      <c r="AE2" s="124" t="str">
        <f t="shared" si="1"/>
        <v>RCP 6.0</v>
      </c>
      <c r="AF2" s="125" t="str">
        <f t="shared" si="1"/>
        <v>RCP 8.5</v>
      </c>
      <c r="AG2" s="139" t="str">
        <f>AC2</f>
        <v>RCP 2.6</v>
      </c>
      <c r="AH2" s="140" t="str">
        <f t="shared" ref="AH2:AJ2" si="2">AD2</f>
        <v>RCP 4.5</v>
      </c>
      <c r="AI2" s="140" t="str">
        <f t="shared" si="2"/>
        <v>RCP 6.0</v>
      </c>
      <c r="AJ2" s="141" t="str">
        <f t="shared" si="2"/>
        <v>RCP 8.5</v>
      </c>
      <c r="AV2" s="208" t="s">
        <v>184</v>
      </c>
      <c r="AW2" s="131">
        <v>2000</v>
      </c>
      <c r="AX2" s="156">
        <v>25.581085000000002</v>
      </c>
      <c r="AY2" s="156">
        <v>114.37687981000001</v>
      </c>
      <c r="AZ2" s="13"/>
      <c r="BA2" s="13"/>
      <c r="BB2" s="13"/>
      <c r="BC2" s="13"/>
      <c r="BD2" s="13">
        <f>SUMIF($A$3:$A$29,AW2,$P$3:$P$29)</f>
        <v>8.7775564799999994</v>
      </c>
      <c r="BE2" s="13">
        <f>SUMIF($A$3:$A$29,AW2,$O$3:$O$29)</f>
        <v>17.954092799999998</v>
      </c>
      <c r="BF2" s="13">
        <f>BD2/BE2</f>
        <v>0.48888888888888893</v>
      </c>
      <c r="BG2" s="13">
        <f>BD2+BE2</f>
        <v>26.731649279999999</v>
      </c>
      <c r="BH2" s="13"/>
      <c r="BI2" s="14"/>
      <c r="BJ2" s="14"/>
      <c r="BK2" s="23"/>
      <c r="BL2" s="13"/>
      <c r="BM2" s="14"/>
      <c r="BN2" s="27"/>
      <c r="BO2" s="27"/>
      <c r="BP2" s="13"/>
      <c r="BQ2" s="13"/>
      <c r="BR2" s="13"/>
    </row>
    <row r="3" spans="1:70" x14ac:dyDescent="0.25">
      <c r="A3" s="41">
        <v>1970</v>
      </c>
      <c r="B3" s="9">
        <f>SUMIF('EDU projections'!$B$37:$B$63,'1'!$A3,'EDU projections'!$D$37:$D$63)</f>
        <v>0.46</v>
      </c>
      <c r="C3" s="10">
        <f>SUMIF('EDU projections'!$B$64:$B$90,'1'!$A3,'EDU projections'!$D$64:$D$90)</f>
        <v>0.14000000000000001</v>
      </c>
      <c r="D3" s="10">
        <f>SUMIF('EDU projections'!$B$91:$B$117,'1'!$A3,'EDU projections'!$D$91:$D$117)</f>
        <v>0.17</v>
      </c>
      <c r="E3" s="10">
        <f>SUMIF('EDU projections'!$B$118:$B$144,'1'!$A3,'EDU projections'!$D$118:$D$144)</f>
        <v>0.14000000000000001</v>
      </c>
      <c r="F3" s="10">
        <f>SUMIF('EDU projections'!$B$145:$B$171,'1'!$A3,'EDU projections'!$D$145:$D$171)</f>
        <v>0.02</v>
      </c>
      <c r="G3" s="10">
        <f>SUMIF('EDU projections'!$B$172:$B$198,'1'!$A3,'EDU projections'!$D$172:$D$198)</f>
        <v>0.04</v>
      </c>
      <c r="H3" s="11">
        <f>SUMIF('EDU projections'!$B$199:$B$225,'1'!$A3,'EDU projections'!$D$199:$D$225)</f>
        <v>0.02</v>
      </c>
      <c r="I3" s="9">
        <f>B3</f>
        <v>0.46</v>
      </c>
      <c r="J3" s="10">
        <f>C3+D3+E3+F3</f>
        <v>0.47000000000000008</v>
      </c>
      <c r="K3" s="10">
        <f>G3+H3</f>
        <v>0.06</v>
      </c>
      <c r="L3" s="23">
        <f>SUMIF(Pop!$A$2:$A$58,'1'!A3,Pop!$B$2:$B$58)/1000</f>
        <v>21344.780999999999</v>
      </c>
      <c r="M3" s="23"/>
      <c r="N3" s="83">
        <f>I3*$L3/1000</f>
        <v>9.8185992600000009</v>
      </c>
      <c r="O3" s="83">
        <f t="shared" ref="O3:O29" si="3">J3*$L3/1000</f>
        <v>10.032047070000001</v>
      </c>
      <c r="P3" s="84">
        <f t="shared" ref="P3:P29" si="4">K3*$L3/1000</f>
        <v>1.2806868599999999</v>
      </c>
      <c r="Q3" s="88">
        <f>SUM(O3:P3)</f>
        <v>11.31273393</v>
      </c>
      <c r="R3" s="27">
        <f>P3/O3</f>
        <v>0.1276595744680851</v>
      </c>
      <c r="S3" s="12">
        <f>SUMIF(GDPcap!$A$182:$A$232,'1'!A3,GDPcap!$B$182:$B$232)</f>
        <v>3094.2164359319218</v>
      </c>
      <c r="T3" s="80">
        <f>S3*L3/1000000</f>
        <v>66.045372191567395</v>
      </c>
      <c r="U3" s="13"/>
      <c r="V3" s="13"/>
      <c r="W3" s="13"/>
      <c r="X3" s="14"/>
      <c r="Y3" t="s">
        <v>141</v>
      </c>
      <c r="Z3" s="99">
        <f>4.5709</f>
        <v>4.5709</v>
      </c>
      <c r="AA3" s="13" t="s">
        <v>142</v>
      </c>
      <c r="AB3" s="14">
        <v>0.21</v>
      </c>
      <c r="AC3" s="136" t="s">
        <v>165</v>
      </c>
      <c r="AD3" s="137">
        <v>-2.2400000000000002</v>
      </c>
      <c r="AE3" s="137"/>
      <c r="AF3" s="138"/>
      <c r="AG3" s="136" t="s">
        <v>168</v>
      </c>
      <c r="AH3" s="137">
        <v>0.3</v>
      </c>
      <c r="AI3" s="137"/>
      <c r="AJ3" s="138"/>
      <c r="AV3" s="209"/>
      <c r="AW3" s="132">
        <v>2020</v>
      </c>
      <c r="AX3" s="156">
        <v>164.04422099999999</v>
      </c>
      <c r="AY3" s="156">
        <v>169.95802671000001</v>
      </c>
      <c r="AZ3" s="13"/>
      <c r="BA3" s="13"/>
      <c r="BB3" s="13"/>
      <c r="BC3" s="13"/>
      <c r="BD3" s="13">
        <f t="shared" ref="BD3:BD7" si="5">SUMIF($A$3:$A$29,AW3,$P$3:$P$29)</f>
        <v>18.584703359999999</v>
      </c>
      <c r="BE3" s="13">
        <f t="shared" ref="BE3:BE7" si="6">SUMIF($A$3:$A$29,AW3,$O$3:$O$29)</f>
        <v>19.589281920000001</v>
      </c>
      <c r="BF3" s="13">
        <f t="shared" ref="BF3:BF13" si="7">BD3/BE3</f>
        <v>0.94871794871794857</v>
      </c>
      <c r="BG3" s="13">
        <f t="shared" ref="BG3:BG13" si="8">BD3+BE3</f>
        <v>38.173985279999997</v>
      </c>
      <c r="BH3" s="13"/>
      <c r="BI3" s="14"/>
      <c r="BJ3" s="14"/>
      <c r="BK3" s="23"/>
      <c r="BL3" s="13"/>
      <c r="BM3" s="14"/>
      <c r="BN3" s="23"/>
      <c r="BO3" s="23"/>
      <c r="BP3" s="13"/>
      <c r="BQ3" s="13"/>
      <c r="BR3" s="13"/>
    </row>
    <row r="4" spans="1:70" x14ac:dyDescent="0.25">
      <c r="A4" s="42">
        <v>1975</v>
      </c>
      <c r="B4" s="12">
        <f>SUMIF('EDU projections'!$B$37:$B$63,'1'!$A4,'EDU projections'!$D$37:$D$63)</f>
        <v>0.43</v>
      </c>
      <c r="C4" s="13">
        <f>SUMIF('EDU projections'!$B$64:$B$90,'1'!$A4,'EDU projections'!$D$64:$D$90)</f>
        <v>0.13</v>
      </c>
      <c r="D4" s="13">
        <f>SUMIF('EDU projections'!$B$91:$B$117,'1'!$A4,'EDU projections'!$D$91:$D$117)</f>
        <v>0.17</v>
      </c>
      <c r="E4" s="13">
        <f>SUMIF('EDU projections'!$B$118:$B$144,'1'!$A4,'EDU projections'!$D$118:$D$144)</f>
        <v>0.16</v>
      </c>
      <c r="F4" s="13">
        <f>SUMIF('EDU projections'!$B$145:$B$171,'1'!$A4,'EDU projections'!$D$145:$D$171)</f>
        <v>0.03</v>
      </c>
      <c r="G4" s="13">
        <f>SUMIF('EDU projections'!$B$172:$B$198,'1'!$A4,'EDU projections'!$D$172:$D$198)</f>
        <v>0.05</v>
      </c>
      <c r="H4" s="14">
        <f>SUMIF('EDU projections'!$B$199:$B$225,'1'!$A4,'EDU projections'!$D$199:$D$225)</f>
        <v>0.03</v>
      </c>
      <c r="I4" s="12">
        <f t="shared" ref="I4:I29" si="9">B4</f>
        <v>0.43</v>
      </c>
      <c r="J4" s="13">
        <f t="shared" ref="J4:J29" si="10">C4+D4+E4+F4</f>
        <v>0.4900000000000001</v>
      </c>
      <c r="K4" s="13">
        <f t="shared" ref="K4:K29" si="11">G4+H4</f>
        <v>0.08</v>
      </c>
      <c r="L4" s="23">
        <f>SUMIF(Pop!$A$2:$A$58,'1'!A4,Pop!$B$2:$B$58)/1000</f>
        <v>23996.249</v>
      </c>
      <c r="M4" s="44"/>
      <c r="N4" s="61">
        <f t="shared" ref="N4:N29" si="12">I4*$L4/1000</f>
        <v>10.318387069999998</v>
      </c>
      <c r="O4" s="61">
        <f t="shared" si="3"/>
        <v>11.758162010000001</v>
      </c>
      <c r="P4" s="62">
        <f t="shared" si="4"/>
        <v>1.91969992</v>
      </c>
      <c r="Q4" s="89">
        <f t="shared" ref="Q4:Q29" si="13">SUM(O4:P4)</f>
        <v>13.677861930000001</v>
      </c>
      <c r="R4" s="23">
        <f t="shared" ref="R4:R29" si="14">P4/O4</f>
        <v>0.16326530612244897</v>
      </c>
      <c r="S4" s="12">
        <f>SUMIF(GDPcap!$A$182:$A$232,'1'!A4,GDPcap!$B$182:$B$232)</f>
        <v>3620.6010362694296</v>
      </c>
      <c r="T4" s="81">
        <f t="shared" ref="T4:T11" si="15">S4*L4/1000000</f>
        <v>86.880843995979262</v>
      </c>
      <c r="U4" s="13"/>
      <c r="V4" s="13"/>
      <c r="W4" s="13"/>
      <c r="X4" s="14"/>
      <c r="Y4" s="12" t="s">
        <v>141</v>
      </c>
      <c r="Z4" s="13">
        <f>Z3/180*PI()</f>
        <v>7.9777254779408807E-2</v>
      </c>
      <c r="AA4" s="13" t="s">
        <v>143</v>
      </c>
      <c r="AB4" s="14">
        <v>0.5</v>
      </c>
      <c r="AC4" s="135" t="s">
        <v>166</v>
      </c>
      <c r="AD4" s="67">
        <v>0.308</v>
      </c>
      <c r="AE4" s="67"/>
      <c r="AF4" s="134"/>
      <c r="AG4" s="135" t="s">
        <v>169</v>
      </c>
      <c r="AH4" s="67">
        <v>0.08</v>
      </c>
      <c r="AI4" s="67"/>
      <c r="AJ4" s="134"/>
      <c r="AV4" s="209"/>
      <c r="AW4" s="132">
        <v>2040</v>
      </c>
      <c r="AX4" s="156">
        <v>1051.96892</v>
      </c>
      <c r="AY4" s="156">
        <v>252.54868721</v>
      </c>
      <c r="AZ4" s="13"/>
      <c r="BA4" s="13"/>
      <c r="BB4" s="13"/>
      <c r="BC4" s="13"/>
      <c r="BD4" s="13">
        <f t="shared" si="5"/>
        <v>29.003015099999999</v>
      </c>
      <c r="BE4" s="13">
        <f t="shared" si="6"/>
        <v>15.322347600000001</v>
      </c>
      <c r="BF4" s="13">
        <f t="shared" si="7"/>
        <v>1.8928571428571428</v>
      </c>
      <c r="BG4" s="13">
        <f t="shared" si="8"/>
        <v>44.325362699999999</v>
      </c>
      <c r="BH4" s="13"/>
      <c r="BI4" s="14"/>
      <c r="BJ4" s="14"/>
      <c r="BK4" s="23"/>
      <c r="BL4" s="13"/>
      <c r="BM4" s="14"/>
      <c r="BN4" s="23"/>
      <c r="BO4" s="23"/>
      <c r="BP4" s="13"/>
      <c r="BQ4" s="13"/>
      <c r="BR4" s="13"/>
    </row>
    <row r="5" spans="1:70" x14ac:dyDescent="0.25">
      <c r="A5" s="42">
        <v>1980</v>
      </c>
      <c r="B5" s="12">
        <f>SUMIF('EDU projections'!$B$37:$B$63,'1'!$A5,'EDU projections'!$D$37:$D$63)</f>
        <v>0.41</v>
      </c>
      <c r="C5" s="13">
        <f>SUMIF('EDU projections'!$B$64:$B$90,'1'!$A5,'EDU projections'!$D$64:$D$90)</f>
        <v>0.11</v>
      </c>
      <c r="D5" s="13">
        <f>SUMIF('EDU projections'!$B$91:$B$117,'1'!$A5,'EDU projections'!$D$91:$D$117)</f>
        <v>0.16</v>
      </c>
      <c r="E5" s="13">
        <f>SUMIF('EDU projections'!$B$118:$B$144,'1'!$A5,'EDU projections'!$D$118:$D$144)</f>
        <v>0.18</v>
      </c>
      <c r="F5" s="13">
        <f>SUMIF('EDU projections'!$B$145:$B$171,'1'!$A5,'EDU projections'!$D$145:$D$171)</f>
        <v>0.04</v>
      </c>
      <c r="G5" s="13">
        <f>SUMIF('EDU projections'!$B$172:$B$198,'1'!$A5,'EDU projections'!$D$172:$D$198)</f>
        <v>0.06</v>
      </c>
      <c r="H5" s="14">
        <f>SUMIF('EDU projections'!$B$199:$B$225,'1'!$A5,'EDU projections'!$D$199:$D$225)</f>
        <v>0.04</v>
      </c>
      <c r="I5" s="12">
        <f t="shared" si="9"/>
        <v>0.41</v>
      </c>
      <c r="J5" s="13">
        <f t="shared" si="10"/>
        <v>0.49</v>
      </c>
      <c r="K5" s="13">
        <f t="shared" si="11"/>
        <v>0.1</v>
      </c>
      <c r="L5" s="23">
        <f>SUMIF(Pop!$A$2:$A$58,'1'!A5,Pop!$B$2:$B$58)/1000</f>
        <v>26934.591</v>
      </c>
      <c r="M5" s="45"/>
      <c r="N5" s="61">
        <f t="shared" si="12"/>
        <v>11.043182310000001</v>
      </c>
      <c r="O5" s="113">
        <f t="shared" si="3"/>
        <v>13.19794959</v>
      </c>
      <c r="P5" s="114">
        <f t="shared" si="4"/>
        <v>2.6934591000000001</v>
      </c>
      <c r="Q5" s="89">
        <f t="shared" si="13"/>
        <v>15.89140869</v>
      </c>
      <c r="R5" s="23">
        <f t="shared" si="14"/>
        <v>0.20408163265306123</v>
      </c>
      <c r="S5" s="12">
        <f>SUMIF(GDPcap!$A$182:$A$232,'1'!A5,GDPcap!$B$182:$B$232)</f>
        <v>4257.2565806766552</v>
      </c>
      <c r="T5" s="115">
        <f t="shared" si="15"/>
        <v>114.6674647825842</v>
      </c>
      <c r="U5" s="13"/>
      <c r="V5" s="13"/>
      <c r="W5" s="13"/>
      <c r="X5" s="14"/>
      <c r="Y5" s="12" t="s">
        <v>140</v>
      </c>
      <c r="Z5" s="13">
        <f>-28*(Z4-PI()/2)/(PI()/2)</f>
        <v>26.577942222222219</v>
      </c>
      <c r="AA5" s="13" t="s">
        <v>144</v>
      </c>
      <c r="AB5" s="14">
        <v>2.3800000000000002E-2</v>
      </c>
      <c r="AC5" s="135" t="s">
        <v>167</v>
      </c>
      <c r="AD5" s="67">
        <v>-7.3000000000000001E-3</v>
      </c>
      <c r="AE5" s="67"/>
      <c r="AF5" s="134"/>
      <c r="AG5" s="135" t="s">
        <v>170</v>
      </c>
      <c r="AH5" s="67">
        <v>-2.3E-3</v>
      </c>
      <c r="AI5" s="67"/>
      <c r="AJ5" s="134"/>
      <c r="AV5" s="209"/>
      <c r="AW5" s="132">
        <v>2060</v>
      </c>
      <c r="AX5" s="156">
        <v>6745.9774500000003</v>
      </c>
      <c r="AY5" s="156">
        <v>375.27406411999999</v>
      </c>
      <c r="AZ5" s="13"/>
      <c r="BA5" s="13"/>
      <c r="BB5" s="13"/>
      <c r="BC5" s="13"/>
      <c r="BD5" s="13">
        <f t="shared" si="5"/>
        <v>35.68824798</v>
      </c>
      <c r="BE5" s="13">
        <f t="shared" si="6"/>
        <v>9.1924275099999999</v>
      </c>
      <c r="BF5" s="13">
        <f t="shared" si="7"/>
        <v>3.8823529411764706</v>
      </c>
      <c r="BG5" s="13">
        <f t="shared" si="8"/>
        <v>44.880675490000002</v>
      </c>
      <c r="BH5" s="13"/>
      <c r="BI5" s="14"/>
      <c r="BJ5" s="14"/>
      <c r="BK5" s="23"/>
      <c r="BL5" s="13"/>
      <c r="BM5" s="14"/>
      <c r="BN5" s="23"/>
      <c r="BO5" s="23"/>
      <c r="BP5" s="13"/>
      <c r="BQ5" s="13"/>
      <c r="BR5" s="13"/>
    </row>
    <row r="6" spans="1:70" x14ac:dyDescent="0.25">
      <c r="A6" s="42">
        <v>1985</v>
      </c>
      <c r="B6" s="12">
        <f>SUMIF('EDU projections'!$B$37:$B$63,'1'!$A6,'EDU projections'!$D$37:$D$63)</f>
        <v>0.38</v>
      </c>
      <c r="C6" s="13">
        <f>SUMIF('EDU projections'!$B$64:$B$90,'1'!$A6,'EDU projections'!$D$64:$D$90)</f>
        <v>0.09</v>
      </c>
      <c r="D6" s="13">
        <f>SUMIF('EDU projections'!$B$91:$B$117,'1'!$A6,'EDU projections'!$D$91:$D$117)</f>
        <v>0.16</v>
      </c>
      <c r="E6" s="13">
        <f>SUMIF('EDU projections'!$B$118:$B$144,'1'!$A6,'EDU projections'!$D$118:$D$144)</f>
        <v>0.19</v>
      </c>
      <c r="F6" s="13">
        <f>SUMIF('EDU projections'!$B$145:$B$171,'1'!$A6,'EDU projections'!$D$145:$D$171)</f>
        <v>0.05</v>
      </c>
      <c r="G6" s="13">
        <f>SUMIF('EDU projections'!$B$172:$B$198,'1'!$A6,'EDU projections'!$D$172:$D$198)</f>
        <v>7.0000000000000007E-2</v>
      </c>
      <c r="H6" s="14">
        <f>SUMIF('EDU projections'!$B$199:$B$225,'1'!$A6,'EDU projections'!$D$199:$D$225)</f>
        <v>0.05</v>
      </c>
      <c r="I6" s="12">
        <f t="shared" si="9"/>
        <v>0.38</v>
      </c>
      <c r="J6" s="13">
        <f t="shared" si="10"/>
        <v>0.49</v>
      </c>
      <c r="K6" s="13">
        <f t="shared" si="11"/>
        <v>0.12000000000000001</v>
      </c>
      <c r="L6" s="23">
        <f>SUMIF(Pop!$A$2:$A$58,'1'!A6,Pop!$B$2:$B$58)/1000</f>
        <v>30076.525000000001</v>
      </c>
      <c r="M6" s="44"/>
      <c r="N6" s="61">
        <f t="shared" si="12"/>
        <v>11.4290795</v>
      </c>
      <c r="O6" s="61">
        <f t="shared" si="3"/>
        <v>14.737497250000001</v>
      </c>
      <c r="P6" s="62">
        <f t="shared" si="4"/>
        <v>3.6091830000000003</v>
      </c>
      <c r="Q6" s="89">
        <f t="shared" si="13"/>
        <v>18.346680250000002</v>
      </c>
      <c r="R6" s="23">
        <f t="shared" si="14"/>
        <v>0.24489795918367346</v>
      </c>
      <c r="S6" s="12">
        <f>SUMIF(GDPcap!$A$182:$A$232,'1'!A6,GDPcap!$B$182:$B$232)</f>
        <v>4271.7493613016004</v>
      </c>
      <c r="T6" s="81">
        <f t="shared" si="15"/>
        <v>128.47937645892162</v>
      </c>
      <c r="U6" s="13"/>
      <c r="V6" s="13"/>
      <c r="W6" s="13"/>
      <c r="X6" s="14"/>
      <c r="Y6" s="12"/>
      <c r="Z6" s="13"/>
      <c r="AA6" s="13"/>
      <c r="AB6" s="14"/>
      <c r="AC6" s="12"/>
      <c r="AD6" s="13"/>
      <c r="AE6" s="13"/>
      <c r="AF6" s="14"/>
      <c r="AG6" s="12"/>
      <c r="AH6" s="13"/>
      <c r="AI6" s="13"/>
      <c r="AJ6" s="14"/>
      <c r="AV6" s="209"/>
      <c r="AW6" s="132">
        <v>2080</v>
      </c>
      <c r="AX6" s="156">
        <v>43260.034399999997</v>
      </c>
      <c r="AY6" s="156">
        <v>557.63751835000005</v>
      </c>
      <c r="AZ6" s="13"/>
      <c r="BA6" s="13"/>
      <c r="BB6" s="13"/>
      <c r="BC6" s="13"/>
      <c r="BD6" s="13">
        <f t="shared" si="5"/>
        <v>38.185937799999998</v>
      </c>
      <c r="BE6" s="13">
        <f t="shared" si="6"/>
        <v>5.5269120499999991</v>
      </c>
      <c r="BF6" s="13">
        <f t="shared" si="7"/>
        <v>6.9090909090909101</v>
      </c>
      <c r="BG6" s="13">
        <f t="shared" si="8"/>
        <v>43.712849849999998</v>
      </c>
      <c r="BH6" s="13"/>
      <c r="BI6" s="14"/>
      <c r="BJ6" s="14"/>
      <c r="BK6" s="23"/>
      <c r="BL6" s="13"/>
      <c r="BM6" s="14"/>
      <c r="BN6" s="23"/>
      <c r="BO6" s="23"/>
      <c r="BP6" s="13"/>
      <c r="BQ6" s="13"/>
      <c r="BR6" s="13"/>
    </row>
    <row r="7" spans="1:70" ht="15.75" thickBot="1" x14ac:dyDescent="0.3">
      <c r="A7" s="42">
        <v>1990</v>
      </c>
      <c r="B7" s="12">
        <f>SUMIF('EDU projections'!$B$37:$B$63,'1'!$A7,'EDU projections'!$D$37:$D$63)</f>
        <v>0.37</v>
      </c>
      <c r="C7" s="13">
        <f>SUMIF('EDU projections'!$B$64:$B$90,'1'!$A7,'EDU projections'!$D$64:$D$90)</f>
        <v>0.08</v>
      </c>
      <c r="D7" s="13">
        <f>SUMIF('EDU projections'!$B$91:$B$117,'1'!$A7,'EDU projections'!$D$91:$D$117)</f>
        <v>0.15</v>
      </c>
      <c r="E7" s="13">
        <f>SUMIF('EDU projections'!$B$118:$B$144,'1'!$A7,'EDU projections'!$D$118:$D$144)</f>
        <v>0.2</v>
      </c>
      <c r="F7" s="13">
        <f>SUMIF('EDU projections'!$B$145:$B$171,'1'!$A7,'EDU projections'!$D$145:$D$171)</f>
        <v>0.05</v>
      </c>
      <c r="G7" s="13">
        <f>SUMIF('EDU projections'!$B$172:$B$198,'1'!$A7,'EDU projections'!$D$172:$D$198)</f>
        <v>0.09</v>
      </c>
      <c r="H7" s="14">
        <f>SUMIF('EDU projections'!$B$199:$B$225,'1'!$A7,'EDU projections'!$D$199:$D$225)</f>
        <v>0.06</v>
      </c>
      <c r="I7" s="12">
        <f t="shared" si="9"/>
        <v>0.37</v>
      </c>
      <c r="J7" s="13">
        <f t="shared" si="10"/>
        <v>0.48</v>
      </c>
      <c r="K7" s="13">
        <f t="shared" si="11"/>
        <v>0.15</v>
      </c>
      <c r="L7" s="23">
        <f>SUMIF(Pop!$A$2:$A$58,'1'!A7,Pop!$B$2:$B$58)/1000</f>
        <v>33306.940999999999</v>
      </c>
      <c r="M7" s="44"/>
      <c r="N7" s="61">
        <f t="shared" si="12"/>
        <v>12.323568169999998</v>
      </c>
      <c r="O7" s="61">
        <f t="shared" si="3"/>
        <v>15.987331679999999</v>
      </c>
      <c r="P7" s="62">
        <f t="shared" si="4"/>
        <v>4.9960411499999999</v>
      </c>
      <c r="Q7" s="89">
        <f t="shared" si="13"/>
        <v>20.98337283</v>
      </c>
      <c r="R7" s="23">
        <f t="shared" si="14"/>
        <v>0.3125</v>
      </c>
      <c r="S7" s="12">
        <f>SUMIF(GDPcap!$A$182:$A$232,'1'!A7,GDPcap!$B$182:$B$232)</f>
        <v>4825.7426343417173</v>
      </c>
      <c r="T7" s="81">
        <f t="shared" si="15"/>
        <v>160.73072520320414</v>
      </c>
      <c r="U7" s="13"/>
      <c r="V7" s="13"/>
      <c r="W7" s="13"/>
      <c r="X7" s="14"/>
      <c r="Y7" s="12"/>
      <c r="Z7" s="13"/>
      <c r="AA7" s="13"/>
      <c r="AB7" s="14"/>
      <c r="AC7" s="12"/>
      <c r="AD7" s="13"/>
      <c r="AE7" s="13"/>
      <c r="AF7" s="14"/>
      <c r="AG7" s="12"/>
      <c r="AH7" s="13"/>
      <c r="AI7" s="13"/>
      <c r="AJ7" s="14"/>
      <c r="AV7" s="210"/>
      <c r="AW7" s="133">
        <v>2100</v>
      </c>
      <c r="AX7" s="157">
        <v>277414.29399999999</v>
      </c>
      <c r="AY7" s="157">
        <v>828.62001829999997</v>
      </c>
      <c r="AZ7" s="16"/>
      <c r="BA7" s="16"/>
      <c r="BB7" s="16"/>
      <c r="BC7" s="16"/>
      <c r="BD7" s="16">
        <f t="shared" si="5"/>
        <v>37.163216720000001</v>
      </c>
      <c r="BE7" s="16">
        <f t="shared" si="6"/>
        <v>2.2660498000000002</v>
      </c>
      <c r="BF7" s="16">
        <f t="shared" si="7"/>
        <v>16.399999999999999</v>
      </c>
      <c r="BG7" s="16">
        <f t="shared" si="8"/>
        <v>39.429266519999999</v>
      </c>
      <c r="BH7" s="16"/>
      <c r="BI7" s="17"/>
      <c r="BJ7" s="17"/>
      <c r="BK7" s="53"/>
      <c r="BL7" s="16"/>
      <c r="BM7" s="17"/>
      <c r="BN7" s="23"/>
      <c r="BO7" s="53"/>
      <c r="BP7" s="13"/>
      <c r="BQ7" s="13"/>
      <c r="BR7" s="13"/>
    </row>
    <row r="8" spans="1:70" x14ac:dyDescent="0.25">
      <c r="A8" s="42">
        <v>1995</v>
      </c>
      <c r="B8" s="12">
        <f>SUMIF('EDU projections'!$B$37:$B$63,'1'!$A8,'EDU projections'!$D$37:$D$63)</f>
        <v>0.35</v>
      </c>
      <c r="C8" s="13">
        <f>SUMIF('EDU projections'!$B$64:$B$90,'1'!$A8,'EDU projections'!$D$64:$D$90)</f>
        <v>7.0000000000000007E-2</v>
      </c>
      <c r="D8" s="13">
        <f>SUMIF('EDU projections'!$B$91:$B$117,'1'!$A8,'EDU projections'!$D$91:$D$117)</f>
        <v>0.14000000000000001</v>
      </c>
      <c r="E8" s="13">
        <f>SUMIF('EDU projections'!$B$118:$B$144,'1'!$A8,'EDU projections'!$D$118:$D$144)</f>
        <v>0.2</v>
      </c>
      <c r="F8" s="13">
        <f>SUMIF('EDU projections'!$B$145:$B$171,'1'!$A8,'EDU projections'!$D$145:$D$171)</f>
        <v>0.06</v>
      </c>
      <c r="G8" s="13">
        <f>SUMIF('EDU projections'!$B$172:$B$198,'1'!$A8,'EDU projections'!$D$172:$D$198)</f>
        <v>0.11</v>
      </c>
      <c r="H8" s="14">
        <f>SUMIF('EDU projections'!$B$199:$B$225,'1'!$A8,'EDU projections'!$D$199:$D$225)</f>
        <v>0.08</v>
      </c>
      <c r="I8" s="12">
        <f t="shared" si="9"/>
        <v>0.35</v>
      </c>
      <c r="J8" s="13">
        <f t="shared" si="10"/>
        <v>0.47000000000000003</v>
      </c>
      <c r="K8" s="13">
        <f t="shared" si="11"/>
        <v>0.19</v>
      </c>
      <c r="L8" s="23">
        <f>SUMIF(Pop!$A$2:$A$58,'1'!A8,Pop!$B$2:$B$58)/1000</f>
        <v>36573.894999999997</v>
      </c>
      <c r="M8" s="44"/>
      <c r="N8" s="61">
        <f t="shared" si="12"/>
        <v>12.800863249999999</v>
      </c>
      <c r="O8" s="61">
        <f t="shared" si="3"/>
        <v>17.189730650000001</v>
      </c>
      <c r="P8" s="62">
        <f t="shared" si="4"/>
        <v>6.9490400499999998</v>
      </c>
      <c r="Q8" s="89">
        <f t="shared" si="13"/>
        <v>24.138770700000002</v>
      </c>
      <c r="R8" s="23">
        <f t="shared" si="14"/>
        <v>0.40425531914893614</v>
      </c>
      <c r="S8" s="12">
        <f>SUMIF(GDPcap!$A$182:$A$232,'1'!A8,GDPcap!$B$182:$B$232)</f>
        <v>5469.7551026701058</v>
      </c>
      <c r="T8" s="81">
        <f t="shared" si="15"/>
        <v>200.05024880077065</v>
      </c>
      <c r="U8" s="13"/>
      <c r="V8" s="13"/>
      <c r="W8" s="13"/>
      <c r="X8" s="14"/>
      <c r="Y8" s="12"/>
      <c r="Z8" s="13"/>
      <c r="AA8" s="13"/>
      <c r="AB8" s="14"/>
      <c r="AC8" s="12"/>
      <c r="AD8" s="13"/>
      <c r="AE8" s="13"/>
      <c r="AF8" s="14"/>
      <c r="AG8" s="12"/>
      <c r="AH8" s="13"/>
      <c r="AI8" s="13"/>
      <c r="AJ8" s="14"/>
      <c r="AV8" s="208" t="s">
        <v>163</v>
      </c>
      <c r="AW8" s="131">
        <v>2000</v>
      </c>
      <c r="AX8" s="10"/>
      <c r="AY8" s="10"/>
      <c r="AZ8" s="10">
        <f>$Y$9</f>
        <v>26.577942222222219</v>
      </c>
      <c r="BA8" s="10">
        <f>$AC$9</f>
        <v>0.78938101123962934</v>
      </c>
      <c r="BB8" s="10">
        <f t="shared" ref="BB8" si="16">$AG$9</f>
        <v>0.80154524841187724</v>
      </c>
      <c r="BC8" s="10">
        <f>BB8/BA8</f>
        <v>1.015409842647653</v>
      </c>
      <c r="BD8" s="158">
        <v>7.95740947</v>
      </c>
      <c r="BE8" s="158">
        <v>18.772590529999999</v>
      </c>
      <c r="BF8" s="10">
        <f t="shared" si="7"/>
        <v>0.42388446374960698</v>
      </c>
      <c r="BG8" s="10">
        <f t="shared" si="8"/>
        <v>26.729999999999997</v>
      </c>
      <c r="BH8" s="160">
        <v>9.18541016</v>
      </c>
      <c r="BI8" s="11"/>
      <c r="BJ8" s="11">
        <v>16.598279389999998</v>
      </c>
      <c r="BK8" s="27"/>
      <c r="BL8" s="160">
        <v>21.760224659999999</v>
      </c>
      <c r="BM8" s="11"/>
      <c r="BN8" s="27"/>
      <c r="BO8" s="27"/>
      <c r="BP8" s="13"/>
      <c r="BQ8" s="13"/>
      <c r="BR8" s="13"/>
    </row>
    <row r="9" spans="1:70" s="77" customFormat="1" x14ac:dyDescent="0.25">
      <c r="A9" s="69">
        <v>2000</v>
      </c>
      <c r="B9" s="70">
        <f>SUMIF('EDU projections'!$B$37:$B$63,'1'!$A9,'EDU projections'!$D$37:$D$63)</f>
        <v>0.33</v>
      </c>
      <c r="C9" s="71">
        <f>SUMIF('EDU projections'!$B$64:$B$90,'1'!$A9,'EDU projections'!$D$64:$D$90)</f>
        <v>0.06</v>
      </c>
      <c r="D9" s="71">
        <f>SUMIF('EDU projections'!$B$91:$B$117,'1'!$A9,'EDU projections'!$D$91:$D$117)</f>
        <v>0.13</v>
      </c>
      <c r="E9" s="71">
        <f>SUMIF('EDU projections'!$B$118:$B$144,'1'!$A9,'EDU projections'!$D$118:$D$144)</f>
        <v>0.2</v>
      </c>
      <c r="F9" s="71">
        <f>SUMIF('EDU projections'!$B$145:$B$171,'1'!$A9,'EDU projections'!$D$145:$D$171)</f>
        <v>0.06</v>
      </c>
      <c r="G9" s="71">
        <f>SUMIF('EDU projections'!$B$172:$B$198,'1'!$A9,'EDU projections'!$D$172:$D$198)</f>
        <v>0.13</v>
      </c>
      <c r="H9" s="72">
        <f>SUMIF('EDU projections'!$B$199:$B$225,'1'!$A9,'EDU projections'!$D$199:$D$225)</f>
        <v>0.09</v>
      </c>
      <c r="I9" s="70">
        <f t="shared" si="9"/>
        <v>0.33</v>
      </c>
      <c r="J9" s="71">
        <f t="shared" si="10"/>
        <v>0.45</v>
      </c>
      <c r="K9" s="71">
        <f t="shared" si="11"/>
        <v>0.22</v>
      </c>
      <c r="L9" s="73">
        <f>SUMIF(Pop!$A$2:$A$58,'1'!A9,Pop!$B$2:$B$58)/1000</f>
        <v>39897.983999999997</v>
      </c>
      <c r="M9" s="74">
        <f>(Q9-Q5)/Q5</f>
        <v>0.68214472369724188</v>
      </c>
      <c r="N9" s="85">
        <f t="shared" si="12"/>
        <v>13.166334719999998</v>
      </c>
      <c r="O9" s="172">
        <f t="shared" si="3"/>
        <v>17.954092799999998</v>
      </c>
      <c r="P9" s="173">
        <f t="shared" si="4"/>
        <v>8.7775564799999994</v>
      </c>
      <c r="Q9" s="95">
        <f t="shared" si="13"/>
        <v>26.731649279999999</v>
      </c>
      <c r="R9" s="174">
        <f t="shared" si="14"/>
        <v>0.48888888888888893</v>
      </c>
      <c r="S9" s="70">
        <f>SUMIF(GDPcap!$A$182:$A$232,'1'!A9,GDPcap!$B$182:$B$232)</f>
        <v>5375.205430658656</v>
      </c>
      <c r="T9" s="82">
        <f t="shared" si="15"/>
        <v>214.45986026913215</v>
      </c>
      <c r="U9" s="75">
        <f>RCP!F2</f>
        <v>881.61855719999994</v>
      </c>
      <c r="V9" s="75">
        <f>RCP!F3</f>
        <v>881.61855719999994</v>
      </c>
      <c r="W9" s="75">
        <f>RCP!F4</f>
        <v>881.61855719999994</v>
      </c>
      <c r="X9" s="76">
        <f>RCP!F5</f>
        <v>881.61855719999994</v>
      </c>
      <c r="Y9" s="70">
        <f t="shared" ref="Y9:AB11" si="17">$Z$5+$AB$3*(U9-U$9)^$AB$4*(1-$AB$5*$Z$5)</f>
        <v>26.577942222222219</v>
      </c>
      <c r="Z9" s="71">
        <f t="shared" si="17"/>
        <v>26.577942222222219</v>
      </c>
      <c r="AA9" s="71">
        <f t="shared" si="17"/>
        <v>26.577942222222219</v>
      </c>
      <c r="AB9" s="72">
        <f t="shared" si="17"/>
        <v>26.577942222222219</v>
      </c>
      <c r="AC9" s="70">
        <f>MAX(0.001, $AD$3+$AD$4*Y9+$AD$5*Y9^2)</f>
        <v>0.78938101123962934</v>
      </c>
      <c r="AD9" s="71">
        <f t="shared" ref="AD9:AF11" si="18">MAX(0.001, $AD$3+$AD$4*Z9+$AD$5*Z9^2)</f>
        <v>0.78938101123962934</v>
      </c>
      <c r="AE9" s="71">
        <f t="shared" si="18"/>
        <v>0.78938101123962934</v>
      </c>
      <c r="AF9" s="72">
        <f t="shared" si="18"/>
        <v>0.78938101123962934</v>
      </c>
      <c r="AG9" s="70">
        <f>MAX(0.001, $AH$3+$AH$4*Y9+$AH$5*Y9^2)</f>
        <v>0.80154524841187724</v>
      </c>
      <c r="AH9" s="71">
        <f t="shared" ref="AH9:AH29" si="19">MAX(0.001, $AH$3+$AH$4*Z9+$AH$5*Z9^2)</f>
        <v>0.80154524841187724</v>
      </c>
      <c r="AI9" s="71">
        <f t="shared" ref="AI9:AI29" si="20">MAX(0.001, $AH$3+$AH$4*AA9+$AH$5*AA9^2)</f>
        <v>0.80154524841187724</v>
      </c>
      <c r="AJ9" s="72">
        <f t="shared" ref="AJ9:AJ29" si="21">MAX(0.001, $AH$3+$AH$4*AB9+$AH$5*AB9^2)</f>
        <v>0.80154524841187724</v>
      </c>
      <c r="AV9" s="209"/>
      <c r="AW9" s="132">
        <v>2020</v>
      </c>
      <c r="AX9" s="148"/>
      <c r="AY9" s="148"/>
      <c r="AZ9" s="148">
        <f t="shared" ref="AZ9:AZ13" si="22">$Y$9</f>
        <v>26.577942222222219</v>
      </c>
      <c r="BA9" s="148">
        <f t="shared" ref="BA9:BA13" si="23">$AC$9</f>
        <v>0.78938101123962934</v>
      </c>
      <c r="BB9" s="148">
        <f>$AG$9</f>
        <v>0.80154524841187724</v>
      </c>
      <c r="BC9" s="148">
        <f t="shared" ref="BC9:BC13" si="24">BB9/BA9</f>
        <v>1.015409842647653</v>
      </c>
      <c r="BD9" s="159">
        <v>17.134755330000001</v>
      </c>
      <c r="BE9" s="159">
        <v>19.458579740000001</v>
      </c>
      <c r="BF9" s="148">
        <f t="shared" si="7"/>
        <v>0.8805758466933209</v>
      </c>
      <c r="BG9" s="148">
        <f t="shared" si="8"/>
        <v>36.593335070000002</v>
      </c>
      <c r="BH9" s="161">
        <v>30.33889503</v>
      </c>
      <c r="BI9" s="149"/>
      <c r="BJ9" s="149">
        <v>40.805857860000003</v>
      </c>
      <c r="BK9" s="189"/>
      <c r="BL9" s="161">
        <v>65.107114350000003</v>
      </c>
      <c r="BM9" s="149"/>
      <c r="BN9" s="189"/>
      <c r="BO9" s="189"/>
      <c r="BP9" s="148"/>
      <c r="BQ9" s="148"/>
      <c r="BR9" s="148"/>
    </row>
    <row r="10" spans="1:70" x14ac:dyDescent="0.25">
      <c r="A10" s="42">
        <v>2005</v>
      </c>
      <c r="B10" s="12">
        <f>SUMIF('EDU projections'!$B$37:$B$63,'1'!$A10,'EDU projections'!$D$37:$D$63)</f>
        <v>0.31</v>
      </c>
      <c r="C10" s="13">
        <f>SUMIF('EDU projections'!$B$64:$B$90,'1'!$A10,'EDU projections'!$D$64:$D$90)</f>
        <v>0.05</v>
      </c>
      <c r="D10" s="13">
        <f>SUMIF('EDU projections'!$B$91:$B$117,'1'!$A10,'EDU projections'!$D$91:$D$117)</f>
        <v>0.12</v>
      </c>
      <c r="E10" s="13">
        <f>SUMIF('EDU projections'!$B$118:$B$144,'1'!$A10,'EDU projections'!$D$118:$D$144)</f>
        <v>0.2</v>
      </c>
      <c r="F10" s="13">
        <f>SUMIF('EDU projections'!$B$145:$B$171,'1'!$A10,'EDU projections'!$D$145:$D$171)</f>
        <v>7.0000000000000007E-2</v>
      </c>
      <c r="G10" s="13">
        <f>SUMIF('EDU projections'!$B$172:$B$198,'1'!$A10,'EDU projections'!$D$172:$D$198)</f>
        <v>0.15</v>
      </c>
      <c r="H10" s="14">
        <f>SUMIF('EDU projections'!$B$199:$B$225,'1'!$A10,'EDU projections'!$D$199:$D$225)</f>
        <v>0.1</v>
      </c>
      <c r="I10" s="12">
        <f t="shared" si="9"/>
        <v>0.31</v>
      </c>
      <c r="J10" s="13">
        <f t="shared" si="10"/>
        <v>0.44</v>
      </c>
      <c r="K10" s="13">
        <f t="shared" si="11"/>
        <v>0.25</v>
      </c>
      <c r="L10" s="23">
        <f>SUMIF(Pop!$A$2:$A$58,'1'!A10,Pop!$B$2:$B$58)/1000</f>
        <v>43184.025999999998</v>
      </c>
      <c r="M10" s="44"/>
      <c r="N10" s="61">
        <f t="shared" si="12"/>
        <v>13.38704806</v>
      </c>
      <c r="O10" s="61">
        <f t="shared" si="3"/>
        <v>19.000971439999997</v>
      </c>
      <c r="P10" s="62">
        <f t="shared" si="4"/>
        <v>10.796006499999999</v>
      </c>
      <c r="Q10" s="89">
        <f t="shared" si="13"/>
        <v>29.796977939999998</v>
      </c>
      <c r="R10" s="23">
        <f t="shared" si="14"/>
        <v>0.56818181818181823</v>
      </c>
      <c r="S10" s="12">
        <f>SUMIF(GDPcap!$A$182:$A$232,'1'!A10,GDPcap!$B$182:$B$232)</f>
        <v>6021.9563021852782</v>
      </c>
      <c r="T10" s="81">
        <f t="shared" si="15"/>
        <v>260.05231752443291</v>
      </c>
      <c r="U10" s="25">
        <f>RCP!G2</f>
        <v>908.74516560000006</v>
      </c>
      <c r="V10" s="25">
        <f>RCP!G3</f>
        <v>908.74516560000006</v>
      </c>
      <c r="W10" s="25">
        <f>RCP!G4</f>
        <v>908.74516560000006</v>
      </c>
      <c r="X10" s="26">
        <f>RCP!G5</f>
        <v>908.74516560000006</v>
      </c>
      <c r="Y10" s="12">
        <f t="shared" si="17"/>
        <v>26.979834217704475</v>
      </c>
      <c r="Z10" s="13">
        <f t="shared" si="17"/>
        <v>26.979834217704475</v>
      </c>
      <c r="AA10" s="13">
        <f t="shared" si="17"/>
        <v>26.979834217704475</v>
      </c>
      <c r="AB10" s="14">
        <f t="shared" si="17"/>
        <v>26.979834217704475</v>
      </c>
      <c r="AC10" s="12">
        <f t="shared" ref="AC10:AC11" si="25">MAX(0.001, $AD$3+$AD$4*Y10+$AD$5*Y10^2)</f>
        <v>0.75603532182481192</v>
      </c>
      <c r="AD10" s="13">
        <f t="shared" si="18"/>
        <v>0.75603532182481192</v>
      </c>
      <c r="AE10" s="13">
        <f t="shared" si="18"/>
        <v>0.75603532182481192</v>
      </c>
      <c r="AF10" s="14">
        <f t="shared" si="18"/>
        <v>0.75603532182481192</v>
      </c>
      <c r="AG10" s="12">
        <f t="shared" ref="AG10:AG29" si="26">MAX(0.001, $AH$3+$AH$4*Y10+$AH$5*Y10^2)</f>
        <v>0.78419039226227794</v>
      </c>
      <c r="AH10" s="13">
        <f t="shared" si="19"/>
        <v>0.78419039226227794</v>
      </c>
      <c r="AI10" s="13">
        <f t="shared" si="20"/>
        <v>0.78419039226227794</v>
      </c>
      <c r="AJ10" s="14">
        <f t="shared" si="21"/>
        <v>0.78419039226227794</v>
      </c>
      <c r="AV10" s="209"/>
      <c r="AW10" s="132">
        <v>2040</v>
      </c>
      <c r="AX10" s="13"/>
      <c r="AY10" s="13"/>
      <c r="AZ10" s="13">
        <f t="shared" si="22"/>
        <v>26.577942222222219</v>
      </c>
      <c r="BA10" s="13">
        <f t="shared" si="23"/>
        <v>0.78938101123962934</v>
      </c>
      <c r="BB10" s="13">
        <f t="shared" ref="BB10:BB13" si="27">$AG$9</f>
        <v>0.80154524841187724</v>
      </c>
      <c r="BC10" s="13">
        <f t="shared" si="24"/>
        <v>1.015409842647653</v>
      </c>
      <c r="BD10" s="156">
        <v>27.113838600000001</v>
      </c>
      <c r="BE10" s="156">
        <v>14.82193717</v>
      </c>
      <c r="BF10" s="13">
        <f t="shared" si="7"/>
        <v>1.8293046508710846</v>
      </c>
      <c r="BG10" s="13">
        <f t="shared" si="8"/>
        <v>41.935775769999999</v>
      </c>
      <c r="BH10" s="162">
        <v>76.749742519999998</v>
      </c>
      <c r="BI10" s="14"/>
      <c r="BJ10" s="14">
        <v>85.868333469999996</v>
      </c>
      <c r="BK10" s="23"/>
      <c r="BL10" s="162">
        <v>154.40891035000001</v>
      </c>
      <c r="BM10" s="14"/>
      <c r="BN10" s="23"/>
      <c r="BO10" s="23"/>
      <c r="BP10" s="13"/>
      <c r="BQ10" s="13"/>
      <c r="BR10" s="13"/>
    </row>
    <row r="11" spans="1:70" x14ac:dyDescent="0.25">
      <c r="A11" s="42">
        <v>2010</v>
      </c>
      <c r="B11" s="12">
        <f>SUMIF('EDU projections'!$B$37:$B$63,'1'!$A11,'EDU projections'!$D$37:$D$63)</f>
        <v>0.28999999999999998</v>
      </c>
      <c r="C11" s="13">
        <f>SUMIF('EDU projections'!$B$64:$B$90,'1'!$A11,'EDU projections'!$D$64:$D$90)</f>
        <v>0.05</v>
      </c>
      <c r="D11" s="13">
        <f>SUMIF('EDU projections'!$B$91:$B$117,'1'!$A11,'EDU projections'!$D$91:$D$117)</f>
        <v>0.11</v>
      </c>
      <c r="E11" s="13">
        <f>SUMIF('EDU projections'!$B$118:$B$144,'1'!$A11,'EDU projections'!$D$118:$D$144)</f>
        <v>0.19</v>
      </c>
      <c r="F11" s="13">
        <f>SUMIF('EDU projections'!$B$145:$B$171,'1'!$A11,'EDU projections'!$D$145:$D$171)</f>
        <v>0.08</v>
      </c>
      <c r="G11" s="13">
        <f>SUMIF('EDU projections'!$B$172:$B$198,'1'!$A11,'EDU projections'!$D$172:$D$198)</f>
        <v>0.17</v>
      </c>
      <c r="H11" s="14">
        <f>SUMIF('EDU projections'!$B$199:$B$225,'1'!$A11,'EDU projections'!$D$199:$D$225)</f>
        <v>0.12</v>
      </c>
      <c r="I11" s="12">
        <f t="shared" si="9"/>
        <v>0.28999999999999998</v>
      </c>
      <c r="J11" s="13">
        <f t="shared" si="10"/>
        <v>0.43</v>
      </c>
      <c r="K11" s="13">
        <f t="shared" si="11"/>
        <v>0.29000000000000004</v>
      </c>
      <c r="L11" s="23">
        <f>SUMIF(Pop!$A$2:$A$58,'1'!A11,Pop!$B$2:$B$58)/1000</f>
        <v>46444.798000000003</v>
      </c>
      <c r="M11" s="44"/>
      <c r="N11" s="61">
        <f t="shared" si="12"/>
        <v>13.46899142</v>
      </c>
      <c r="O11" s="61">
        <f t="shared" si="3"/>
        <v>19.971263139999998</v>
      </c>
      <c r="P11" s="62">
        <f t="shared" si="4"/>
        <v>13.468991420000002</v>
      </c>
      <c r="Q11" s="89">
        <f t="shared" si="13"/>
        <v>33.44025456</v>
      </c>
      <c r="R11" s="23">
        <f t="shared" si="14"/>
        <v>0.67441860465116299</v>
      </c>
      <c r="S11" s="12">
        <f>SUMIF(GDPcap!$A$182:$A$232,'1'!A11,GDPcap!$B$182:$B$232)</f>
        <v>7062.5047068853282</v>
      </c>
      <c r="T11" s="81">
        <f t="shared" si="15"/>
        <v>328.01660448533829</v>
      </c>
      <c r="U11" s="25">
        <f>RCP!H2</f>
        <v>938.65317159999995</v>
      </c>
      <c r="V11" s="25">
        <f>RCP!H3</f>
        <v>937.78823280000006</v>
      </c>
      <c r="W11" s="25">
        <f>RCP!H4</f>
        <v>937.84532439999998</v>
      </c>
      <c r="X11" s="26">
        <f>RCP!H5</f>
        <v>939.2982452</v>
      </c>
      <c r="Y11" s="12">
        <f t="shared" si="17"/>
        <v>27.160690316936613</v>
      </c>
      <c r="Z11" s="13">
        <f t="shared" si="17"/>
        <v>27.156254703242723</v>
      </c>
      <c r="AA11" s="13">
        <f t="shared" si="17"/>
        <v>27.156548530820288</v>
      </c>
      <c r="AB11" s="14">
        <f t="shared" si="17"/>
        <v>27.163976553402705</v>
      </c>
      <c r="AC11" s="12">
        <f t="shared" si="25"/>
        <v>0.74025999862097613</v>
      </c>
      <c r="AD11" s="13">
        <f t="shared" si="18"/>
        <v>0.74065261119479242</v>
      </c>
      <c r="AE11" s="13">
        <f t="shared" si="18"/>
        <v>0.74062661231302673</v>
      </c>
      <c r="AF11" s="14">
        <f t="shared" si="18"/>
        <v>0.73996893643320494</v>
      </c>
      <c r="AG11" s="12">
        <f t="shared" si="26"/>
        <v>0.77613809882210005</v>
      </c>
      <c r="AH11" s="13">
        <f t="shared" si="19"/>
        <v>0.77633738639241479</v>
      </c>
      <c r="AI11" s="13">
        <f t="shared" si="20"/>
        <v>0.77632418781998891</v>
      </c>
      <c r="AJ11" s="14">
        <f t="shared" si="21"/>
        <v>0.77599039322644892</v>
      </c>
      <c r="AV11" s="209"/>
      <c r="AW11" s="132">
        <v>2060</v>
      </c>
      <c r="AX11" s="13"/>
      <c r="AY11" s="13"/>
      <c r="AZ11" s="13">
        <f t="shared" si="22"/>
        <v>26.577942222222219</v>
      </c>
      <c r="BA11" s="13">
        <f t="shared" si="23"/>
        <v>0.78938101123962934</v>
      </c>
      <c r="BB11" s="13">
        <f t="shared" si="27"/>
        <v>0.80154524841187724</v>
      </c>
      <c r="BC11" s="13">
        <f t="shared" si="24"/>
        <v>1.015409842647653</v>
      </c>
      <c r="BD11" s="156">
        <v>33.592890099999998</v>
      </c>
      <c r="BE11" s="156">
        <v>8.8397922900000001</v>
      </c>
      <c r="BF11" s="13">
        <f t="shared" si="7"/>
        <v>3.8001899816132441</v>
      </c>
      <c r="BG11" s="13">
        <f t="shared" si="8"/>
        <v>42.432682389999997</v>
      </c>
      <c r="BH11" s="162">
        <v>156.62726771999999</v>
      </c>
      <c r="BI11" s="14"/>
      <c r="BJ11" s="14">
        <v>158.183606</v>
      </c>
      <c r="BK11" s="23"/>
      <c r="BL11" s="162">
        <v>303.73163237</v>
      </c>
      <c r="BM11" s="14"/>
      <c r="BN11" s="23"/>
      <c r="BO11" s="23"/>
      <c r="BP11" s="13"/>
      <c r="BQ11" s="13"/>
      <c r="BR11" s="13"/>
    </row>
    <row r="12" spans="1:70" x14ac:dyDescent="0.25">
      <c r="A12" s="42">
        <v>2015</v>
      </c>
      <c r="B12" s="12">
        <f>SUMIF('EDU projections'!$B$37:$B$63,'1'!$A12,'EDU projections'!$D$37:$D$63)</f>
        <v>0.27</v>
      </c>
      <c r="C12" s="13">
        <f>SUMIF('EDU projections'!$B$64:$B$90,'1'!$A12,'EDU projections'!$D$64:$D$90)</f>
        <v>0.04</v>
      </c>
      <c r="D12" s="13">
        <f>SUMIF('EDU projections'!$B$91:$B$117,'1'!$A12,'EDU projections'!$D$91:$D$117)</f>
        <v>0.1</v>
      </c>
      <c r="E12" s="13">
        <f>SUMIF('EDU projections'!$B$118:$B$144,'1'!$A12,'EDU projections'!$D$118:$D$144)</f>
        <v>0.19</v>
      </c>
      <c r="F12" s="13">
        <f>SUMIF('EDU projections'!$B$145:$B$171,'1'!$A12,'EDU projections'!$D$145:$D$171)</f>
        <v>7.0000000000000007E-2</v>
      </c>
      <c r="G12" s="13">
        <f>SUMIF('EDU projections'!$B$172:$B$198,'1'!$A12,'EDU projections'!$D$172:$D$198)</f>
        <v>0.2</v>
      </c>
      <c r="H12" s="14">
        <f>SUMIF('EDU projections'!$B$199:$B$225,'1'!$A12,'EDU projections'!$D$199:$D$225)</f>
        <v>0.13</v>
      </c>
      <c r="I12" s="12">
        <f t="shared" si="9"/>
        <v>0.27</v>
      </c>
      <c r="J12" s="13">
        <f t="shared" si="10"/>
        <v>0.4</v>
      </c>
      <c r="K12" s="13">
        <f t="shared" si="11"/>
        <v>0.33</v>
      </c>
      <c r="L12" s="24">
        <f>SUMIF(UN!$A$10:'UN'!$A$95,A12,UN!$B$10:'UN'!$B$95)</f>
        <v>48228.703999999998</v>
      </c>
      <c r="M12" s="44"/>
      <c r="N12" s="61">
        <f t="shared" si="12"/>
        <v>13.02175008</v>
      </c>
      <c r="O12" s="61">
        <f t="shared" si="3"/>
        <v>19.291481600000001</v>
      </c>
      <c r="P12" s="62">
        <f t="shared" si="4"/>
        <v>15.915472320000001</v>
      </c>
      <c r="Q12" s="89">
        <f t="shared" si="13"/>
        <v>35.206953920000004</v>
      </c>
      <c r="R12" s="29">
        <f t="shared" si="14"/>
        <v>0.82500000000000007</v>
      </c>
      <c r="S12" s="12"/>
      <c r="T12" s="23"/>
      <c r="U12" s="25"/>
      <c r="V12" s="25"/>
      <c r="W12" s="25"/>
      <c r="X12" s="26"/>
      <c r="Y12" s="12"/>
      <c r="Z12" s="13"/>
      <c r="AA12" s="13"/>
      <c r="AB12" s="14"/>
      <c r="AC12" s="12"/>
      <c r="AD12" s="13"/>
      <c r="AE12" s="13"/>
      <c r="AF12" s="14"/>
      <c r="AG12" s="12"/>
      <c r="AH12" s="13"/>
      <c r="AI12" s="13"/>
      <c r="AJ12" s="14"/>
      <c r="AV12" s="209"/>
      <c r="AW12" s="132">
        <v>2080</v>
      </c>
      <c r="AX12" s="13"/>
      <c r="AY12" s="13"/>
      <c r="AZ12" s="13">
        <f t="shared" si="22"/>
        <v>26.577942222222219</v>
      </c>
      <c r="BA12" s="13">
        <f t="shared" si="23"/>
        <v>0.78938101123962934</v>
      </c>
      <c r="BB12" s="13">
        <f t="shared" si="27"/>
        <v>0.80154524841187724</v>
      </c>
      <c r="BC12" s="13">
        <f t="shared" si="24"/>
        <v>1.015409842647653</v>
      </c>
      <c r="BD12" s="156">
        <v>35.372174370000003</v>
      </c>
      <c r="BE12" s="156">
        <v>4.48061036</v>
      </c>
      <c r="BF12" s="13">
        <f t="shared" si="7"/>
        <v>7.894499081147508</v>
      </c>
      <c r="BG12" s="13">
        <f t="shared" si="8"/>
        <v>39.852784730000003</v>
      </c>
      <c r="BH12" s="162">
        <v>276.83374637999998</v>
      </c>
      <c r="BI12" s="14"/>
      <c r="BJ12" s="14">
        <v>265.11666341</v>
      </c>
      <c r="BK12" s="23"/>
      <c r="BL12" s="162">
        <v>526.56045925000001</v>
      </c>
      <c r="BM12" s="14"/>
      <c r="BN12" s="23"/>
      <c r="BO12" s="23"/>
      <c r="BP12" s="13"/>
      <c r="BQ12" s="13"/>
      <c r="BR12" s="13"/>
    </row>
    <row r="13" spans="1:70" ht="15.75" thickBot="1" x14ac:dyDescent="0.3">
      <c r="A13" s="42">
        <v>2020</v>
      </c>
      <c r="B13" s="12">
        <f>SUMIF('EDU projections'!$B$37:$B$63,'1'!$A13,'EDU projections'!$D$37:$D$63)</f>
        <v>0.25</v>
      </c>
      <c r="C13" s="13">
        <f>SUMIF('EDU projections'!$B$64:$B$90,'1'!$A13,'EDU projections'!$D$64:$D$90)</f>
        <v>0.04</v>
      </c>
      <c r="D13" s="13">
        <f>SUMIF('EDU projections'!$B$91:$B$117,'1'!$A13,'EDU projections'!$D$91:$D$117)</f>
        <v>0.09</v>
      </c>
      <c r="E13" s="13">
        <f>SUMIF('EDU projections'!$B$118:$B$144,'1'!$A13,'EDU projections'!$D$118:$D$144)</f>
        <v>0.18</v>
      </c>
      <c r="F13" s="13">
        <f>SUMIF('EDU projections'!$B$145:$B$171,'1'!$A13,'EDU projections'!$D$145:$D$171)</f>
        <v>0.08</v>
      </c>
      <c r="G13" s="13">
        <f>SUMIF('EDU projections'!$B$172:$B$198,'1'!$A13,'EDU projections'!$D$172:$D$198)</f>
        <v>0.22</v>
      </c>
      <c r="H13" s="14">
        <f>SUMIF('EDU projections'!$B$199:$B$225,'1'!$A13,'EDU projections'!$D$199:$D$225)</f>
        <v>0.15</v>
      </c>
      <c r="I13" s="12">
        <f t="shared" si="9"/>
        <v>0.25</v>
      </c>
      <c r="J13" s="13">
        <f t="shared" si="10"/>
        <v>0.39</v>
      </c>
      <c r="K13" s="13">
        <f t="shared" si="11"/>
        <v>0.37</v>
      </c>
      <c r="L13" s="24">
        <f>SUMIF(UN!$A$10:'UN'!$A$95,A13,UN!$B$10:'UN'!$B$95)</f>
        <v>50228.928</v>
      </c>
      <c r="M13" s="74">
        <f>(Q13-Q9)/Q9</f>
        <v>0.42804452056614734</v>
      </c>
      <c r="N13" s="61">
        <f t="shared" si="12"/>
        <v>12.557232000000001</v>
      </c>
      <c r="O13" s="61">
        <f t="shared" si="3"/>
        <v>19.589281920000001</v>
      </c>
      <c r="P13" s="62">
        <f t="shared" si="4"/>
        <v>18.584703359999999</v>
      </c>
      <c r="Q13" s="96">
        <f t="shared" si="13"/>
        <v>38.173985279999997</v>
      </c>
      <c r="R13" s="175">
        <f t="shared" si="14"/>
        <v>0.94871794871794857</v>
      </c>
      <c r="S13" s="12"/>
      <c r="T13" s="23"/>
      <c r="U13" s="63">
        <f>RCP!I2</f>
        <v>998.13992640000004</v>
      </c>
      <c r="V13" s="63">
        <f>RCP!I3</f>
        <v>1000.5514476000001</v>
      </c>
      <c r="W13" s="63">
        <f>RCP!I4</f>
        <v>994.96747360000006</v>
      </c>
      <c r="X13" s="64">
        <f>RCP!J4</f>
        <v>1049.3453252000002</v>
      </c>
      <c r="Y13" s="142">
        <f>$Z$5+$AB$3*(U13-U$9)^$AB$4*(1-$AB$5*$Z$5)</f>
        <v>27.410883523463173</v>
      </c>
      <c r="Z13" s="143">
        <f>$Z$5+$AB$3*(V13-V$9)^$AB$4*(1-$AB$5*$Z$5)</f>
        <v>27.419458641617677</v>
      </c>
      <c r="AA13" s="143">
        <f>$Z$5+$AB$3*(W13-W$9)^$AB$4*(1-$AB$5*$Z$5)</f>
        <v>27.399466294726864</v>
      </c>
      <c r="AB13" s="144">
        <f>$Z$5+$AB$3*(X13-X$9)^$AB$4*(1-$AB$5*$Z$5)</f>
        <v>27.577281130675388</v>
      </c>
      <c r="AC13" s="142">
        <f t="shared" ref="AC13:AF13" si="28">MAX(0.001, $AD$3+$AD$4*Y13+$AD$5*Y13^2)</f>
        <v>0.71764941580754282</v>
      </c>
      <c r="AD13" s="143">
        <f t="shared" si="28"/>
        <v>0.71685826256275398</v>
      </c>
      <c r="AE13" s="143">
        <f t="shared" si="28"/>
        <v>0.71870112015399723</v>
      </c>
      <c r="AF13" s="144">
        <f t="shared" si="28"/>
        <v>0.70210561595779453</v>
      </c>
      <c r="AG13" s="142">
        <f t="shared" si="26"/>
        <v>0.76475065014226473</v>
      </c>
      <c r="AH13" s="143">
        <f t="shared" si="19"/>
        <v>0.76435525327083464</v>
      </c>
      <c r="AI13" s="143">
        <f t="shared" si="20"/>
        <v>0.76527657113564018</v>
      </c>
      <c r="AJ13" s="144">
        <f t="shared" si="21"/>
        <v>0.75701769096533011</v>
      </c>
      <c r="AV13" s="210"/>
      <c r="AW13" s="133">
        <v>2100</v>
      </c>
      <c r="AX13" s="16"/>
      <c r="AY13" s="16"/>
      <c r="AZ13" s="16">
        <f t="shared" si="22"/>
        <v>26.577942222222219</v>
      </c>
      <c r="BA13" s="16">
        <f t="shared" si="23"/>
        <v>0.78938101123962934</v>
      </c>
      <c r="BB13" s="16">
        <f t="shared" si="27"/>
        <v>0.80154524841187724</v>
      </c>
      <c r="BC13" s="16">
        <f t="shared" si="24"/>
        <v>1.015409842647653</v>
      </c>
      <c r="BD13" s="157">
        <v>33.884356609999998</v>
      </c>
      <c r="BE13" s="157">
        <v>2.0661193099999999</v>
      </c>
      <c r="BF13" s="16">
        <f t="shared" si="7"/>
        <v>16.399999964184062</v>
      </c>
      <c r="BG13" s="16">
        <f t="shared" si="8"/>
        <v>35.950475919999995</v>
      </c>
      <c r="BH13" s="163">
        <v>0</v>
      </c>
      <c r="BI13" s="17"/>
      <c r="BJ13" s="17">
        <v>419.56267492000001</v>
      </c>
      <c r="BK13" s="53"/>
      <c r="BL13" s="163">
        <v>847.46641195999996</v>
      </c>
      <c r="BM13" s="17"/>
      <c r="BN13" s="53"/>
      <c r="BO13" s="53"/>
      <c r="BP13" s="13"/>
      <c r="BQ13" s="13"/>
      <c r="BR13" s="13"/>
    </row>
    <row r="14" spans="1:70" x14ac:dyDescent="0.25">
      <c r="A14" s="42">
        <v>2025</v>
      </c>
      <c r="B14" s="12">
        <f>SUMIF('EDU projections'!$B$37:$B$63,'1'!$A14,'EDU projections'!$D$37:$D$63)</f>
        <v>0.23</v>
      </c>
      <c r="C14" s="13">
        <f>SUMIF('EDU projections'!$B$64:$B$90,'1'!$A14,'EDU projections'!$D$64:$D$90)</f>
        <v>0.03</v>
      </c>
      <c r="D14" s="13">
        <f>SUMIF('EDU projections'!$B$91:$B$117,'1'!$A14,'EDU projections'!$D$91:$D$117)</f>
        <v>0.08</v>
      </c>
      <c r="E14" s="13">
        <f>SUMIF('EDU projections'!$B$118:$B$144,'1'!$A14,'EDU projections'!$D$118:$D$144)</f>
        <v>0.17</v>
      </c>
      <c r="F14" s="13">
        <f>SUMIF('EDU projections'!$B$145:$B$171,'1'!$A14,'EDU projections'!$D$145:$D$171)</f>
        <v>0.08</v>
      </c>
      <c r="G14" s="13">
        <f>SUMIF('EDU projections'!$B$172:$B$198,'1'!$A14,'EDU projections'!$D$172:$D$198)</f>
        <v>0.24</v>
      </c>
      <c r="H14" s="14">
        <f>SUMIF('EDU projections'!$B$199:$B$225,'1'!$A14,'EDU projections'!$D$199:$D$225)</f>
        <v>0.17</v>
      </c>
      <c r="I14" s="12">
        <f t="shared" si="9"/>
        <v>0.23</v>
      </c>
      <c r="J14" s="13">
        <f t="shared" si="10"/>
        <v>0.36000000000000004</v>
      </c>
      <c r="K14" s="13">
        <f t="shared" si="11"/>
        <v>0.41000000000000003</v>
      </c>
      <c r="L14" s="24">
        <f>SUMIF(UN!$A$10:'UN'!$A$95,A14,UN!$B$10:'UN'!$B$95)</f>
        <v>51877.661</v>
      </c>
      <c r="M14" s="44"/>
      <c r="N14" s="61">
        <f t="shared" si="12"/>
        <v>11.93186203</v>
      </c>
      <c r="O14" s="61">
        <f t="shared" si="3"/>
        <v>18.675957960000002</v>
      </c>
      <c r="P14" s="62">
        <f t="shared" si="4"/>
        <v>21.26984101</v>
      </c>
      <c r="Q14" s="89">
        <f t="shared" si="13"/>
        <v>39.945798969999998</v>
      </c>
      <c r="R14" s="29">
        <f t="shared" si="14"/>
        <v>1.1388888888888888</v>
      </c>
      <c r="S14" s="12"/>
      <c r="T14" s="23"/>
      <c r="U14" s="25"/>
      <c r="V14" s="25"/>
      <c r="W14" s="25"/>
      <c r="X14" s="26"/>
      <c r="Y14" s="12"/>
      <c r="Z14" s="13"/>
      <c r="AA14" s="13"/>
      <c r="AB14" s="14"/>
      <c r="AC14" s="12"/>
      <c r="AD14" s="13"/>
      <c r="AE14" s="13"/>
      <c r="AF14" s="14"/>
      <c r="AG14" s="12"/>
      <c r="AH14" s="13"/>
      <c r="AI14" s="13"/>
      <c r="AJ14" s="14"/>
      <c r="AV14" s="208" t="s">
        <v>124</v>
      </c>
      <c r="AW14" s="131">
        <v>2000</v>
      </c>
      <c r="AX14" s="10"/>
      <c r="AY14" s="10"/>
      <c r="AZ14" s="150">
        <f>(SUMIF($A$3:$A$29,AW14,$Y$3:$Y$29)-$AZ$8)/$AZ$8</f>
        <v>0</v>
      </c>
      <c r="BA14" s="150">
        <f>(SUMIF($A$3:$A$29,AW14,$AC$3:$AC$29)-$BA8)/$BA8</f>
        <v>0</v>
      </c>
      <c r="BB14" s="150">
        <f>(SUMIF($A$3:$A$29,AW14,$AG$3:$AG$29)-$BB8)/$BB8</f>
        <v>0</v>
      </c>
      <c r="BC14" s="150">
        <f>(SUMIF($A$3:$A$29,AW14,$AG$3:$AG$29)/SUMIF($A$3:$A$29,AW14,$AC$3:$AC$29)-$BC8)/$BC8</f>
        <v>0</v>
      </c>
      <c r="BD14" s="158">
        <v>7.95740947</v>
      </c>
      <c r="BE14" s="158">
        <v>18.772590529999999</v>
      </c>
      <c r="BF14" s="150">
        <f>(BD14/BE14-$BF$8)/$BF$8</f>
        <v>0</v>
      </c>
      <c r="BG14" s="150">
        <f>((BD14+BE14)-$BG$8)/$BG$8</f>
        <v>0</v>
      </c>
      <c r="BH14" s="164">
        <v>9.15061766</v>
      </c>
      <c r="BI14" s="154">
        <f>(BH14-$BH$8)/$BH$8</f>
        <v>-3.7878003697115257E-3</v>
      </c>
      <c r="BJ14" s="197">
        <v>16.598279389999998</v>
      </c>
      <c r="BK14" s="194">
        <f>(BJ14-$BJ8)/$BJ8</f>
        <v>0</v>
      </c>
      <c r="BL14" s="164">
        <v>21.760224659999999</v>
      </c>
      <c r="BM14" s="154">
        <f>(BL14-$BL$8)/$BL$8</f>
        <v>0</v>
      </c>
      <c r="BN14" s="27">
        <f>SUMIF($A$3:$A$29,AW14,$U$3:$U$29)</f>
        <v>881.61855719999994</v>
      </c>
      <c r="BO14" s="27">
        <f>SUMIF($A$3:$A$29,AW14,$Y$3:$Y$29)</f>
        <v>26.577942222222219</v>
      </c>
      <c r="BP14" s="13"/>
      <c r="BQ14" s="13"/>
      <c r="BR14" s="13"/>
    </row>
    <row r="15" spans="1:70" x14ac:dyDescent="0.25">
      <c r="A15" s="42">
        <v>2030</v>
      </c>
      <c r="B15" s="12">
        <f>SUMIF('EDU projections'!$B$37:$B$63,'1'!$A15,'EDU projections'!$D$37:$D$63)</f>
        <v>0.22</v>
      </c>
      <c r="C15" s="13">
        <f>SUMIF('EDU projections'!$B$64:$B$90,'1'!$A15,'EDU projections'!$D$64:$D$90)</f>
        <v>0.03</v>
      </c>
      <c r="D15" s="13">
        <f>SUMIF('EDU projections'!$B$91:$B$117,'1'!$A15,'EDU projections'!$D$91:$D$117)</f>
        <v>7.0000000000000007E-2</v>
      </c>
      <c r="E15" s="13">
        <f>SUMIF('EDU projections'!$B$118:$B$144,'1'!$A15,'EDU projections'!$D$118:$D$144)</f>
        <v>0.16</v>
      </c>
      <c r="F15" s="13">
        <f>SUMIF('EDU projections'!$B$145:$B$171,'1'!$A15,'EDU projections'!$D$145:$D$171)</f>
        <v>7.0000000000000007E-2</v>
      </c>
      <c r="G15" s="13">
        <f>SUMIF('EDU projections'!$B$172:$B$198,'1'!$A15,'EDU projections'!$D$172:$D$198)</f>
        <v>0.26</v>
      </c>
      <c r="H15" s="14">
        <f>SUMIF('EDU projections'!$B$199:$B$225,'1'!$A15,'EDU projections'!$D$199:$D$225)</f>
        <v>0.19</v>
      </c>
      <c r="I15" s="12">
        <f t="shared" si="9"/>
        <v>0.22</v>
      </c>
      <c r="J15" s="13">
        <f t="shared" si="10"/>
        <v>0.33</v>
      </c>
      <c r="K15" s="13">
        <f t="shared" si="11"/>
        <v>0.45</v>
      </c>
      <c r="L15" s="24">
        <f>SUMIF(UN!$A$10:'UN'!$A$95,A15,UN!$B$10:'UN'!$B$95)</f>
        <v>53175.178999999996</v>
      </c>
      <c r="M15" s="44"/>
      <c r="N15" s="61">
        <f t="shared" si="12"/>
        <v>11.69853938</v>
      </c>
      <c r="O15" s="61">
        <f t="shared" si="3"/>
        <v>17.54780907</v>
      </c>
      <c r="P15" s="62">
        <f t="shared" si="4"/>
        <v>23.928830549999997</v>
      </c>
      <c r="Q15" s="89">
        <f t="shared" si="13"/>
        <v>41.47663962</v>
      </c>
      <c r="R15" s="29">
        <f t="shared" si="14"/>
        <v>1.3636363636363635</v>
      </c>
      <c r="S15" s="12"/>
      <c r="T15" s="23"/>
      <c r="U15" s="25">
        <f>RCP!J2</f>
        <v>1040.2817316000001</v>
      </c>
      <c r="V15" s="25">
        <f>RCP!J3</f>
        <v>1068.0541768000001</v>
      </c>
      <c r="W15" s="25">
        <f>RCP!I5</f>
        <v>1023.4482532</v>
      </c>
      <c r="X15" s="26">
        <f>RCP!J5</f>
        <v>1132.8284660000002</v>
      </c>
      <c r="Y15" s="12">
        <f>$Z$5+$AB$3*(U15-U$9)^$AB$4*(1-$AB$5*$Z$5)</f>
        <v>27.549905097145505</v>
      </c>
      <c r="Z15" s="13">
        <f>$Z$5+$AB$3*(V15-V$9)^$AB$4*(1-$AB$5*$Z$5)</f>
        <v>27.631542927391909</v>
      </c>
      <c r="AA15" s="13">
        <f>$Z$5+$AB$3*(W15-W$9)^$AB$4*(1-$AB$5*$Z$5)</f>
        <v>27.49689922889732</v>
      </c>
      <c r="AB15" s="14">
        <f>$Z$5+$AB$3*(X15-X$9)^$AB$4*(1-$AB$5*$Z$5)</f>
        <v>27.800952172272616</v>
      </c>
      <c r="AC15" s="12">
        <f t="shared" ref="AC15:AF15" si="29">MAX(0.001, $AD$3+$AD$4*Y15+$AD$5*Y15^2)</f>
        <v>0.70469069263022988</v>
      </c>
      <c r="AD15" s="13">
        <f t="shared" si="29"/>
        <v>0.69694942043410357</v>
      </c>
      <c r="AE15" s="13">
        <f t="shared" si="29"/>
        <v>0.70966485191019579</v>
      </c>
      <c r="AF15" s="14">
        <f t="shared" si="29"/>
        <v>0.68057479475954086</v>
      </c>
      <c r="AG15" s="12">
        <f t="shared" si="26"/>
        <v>0.75829868478967533</v>
      </c>
      <c r="AH15" s="13">
        <f t="shared" si="19"/>
        <v>0.75446845573025856</v>
      </c>
      <c r="AI15" s="13">
        <f t="shared" si="20"/>
        <v>0.7607691637422771</v>
      </c>
      <c r="AJ15" s="14">
        <f t="shared" si="21"/>
        <v>0.74642240790633352</v>
      </c>
      <c r="AV15" s="209"/>
      <c r="AW15" s="132">
        <v>2020</v>
      </c>
      <c r="AX15" s="13"/>
      <c r="AY15" s="13"/>
      <c r="AZ15" s="151">
        <f>(SUMIF($A$3:$A$29,AW15,$Y$3:$Y$29)-$AZ$9)/$AZ$9</f>
        <v>3.1339570771755199E-2</v>
      </c>
      <c r="BA15" s="151">
        <f t="shared" ref="BA15:BA19" si="30">(SUMIF($A$3:$A$29,AW15,$AC$3:$AC$29)-$BA9)/$BA9</f>
        <v>-9.0870687805677697E-2</v>
      </c>
      <c r="BB15" s="151">
        <f t="shared" ref="BB15:BB19" si="31">(SUMIF($A$3:$A$29,AW15,$AG$3:$AG$29)-$BB9)/$BB9</f>
        <v>-4.5904580362137536E-2</v>
      </c>
      <c r="BC15" s="151">
        <f t="shared" ref="BC15:BC19" si="32">(SUMIF($A$3:$A$29,AW15,$AG$3:$AG$29)/SUMIF($A$3:$A$29,AW15,$AC$3:$AC$29)-$BC9)/$BC9</f>
        <v>4.9460628802087077E-2</v>
      </c>
      <c r="BD15" s="156">
        <v>17.0268765</v>
      </c>
      <c r="BE15" s="156">
        <v>19.807226700000001</v>
      </c>
      <c r="BF15" s="151">
        <f>(BD15/BE15-$BF$9)/$BF$9</f>
        <v>-2.3787094480456648E-2</v>
      </c>
      <c r="BG15" s="151">
        <f>((BD15+BE15)-$BG$9)/$BG$9</f>
        <v>6.5795623585396066E-3</v>
      </c>
      <c r="BH15" s="165">
        <v>28.298951970000001</v>
      </c>
      <c r="BI15" s="155">
        <f>(BH15-$BH$9)/$BH$9</f>
        <v>-6.723854174592854E-2</v>
      </c>
      <c r="BJ15" s="198">
        <v>38.844850059999999</v>
      </c>
      <c r="BK15" s="44">
        <f t="shared" ref="BK15:BK19" si="33">(BJ15-$BJ9)/$BJ9</f>
        <v>-4.8057016880468158E-2</v>
      </c>
      <c r="BL15" s="165">
        <v>60.94458573</v>
      </c>
      <c r="BM15" s="155">
        <f>(BL15-$BL$9)/$BL$9</f>
        <v>-6.3933544921423835E-2</v>
      </c>
      <c r="BN15" s="23">
        <f t="shared" ref="BN15:BN19" si="34">SUMIF($A$3:$A$29,AW15,$U$3:$U$29)</f>
        <v>998.13992640000004</v>
      </c>
      <c r="BO15" s="23">
        <f t="shared" ref="BO15:BO19" si="35">SUMIF($A$3:$A$29,AW15,$Y$3:$Y$29)</f>
        <v>27.410883523463173</v>
      </c>
      <c r="BP15" s="13"/>
      <c r="BQ15" s="13"/>
      <c r="BR15" s="13"/>
    </row>
    <row r="16" spans="1:70" x14ac:dyDescent="0.25">
      <c r="A16" s="42">
        <v>2035</v>
      </c>
      <c r="B16" s="12">
        <f>SUMIF('EDU projections'!$B$37:$B$63,'1'!$A16,'EDU projections'!$D$37:$D$63)</f>
        <v>0.21</v>
      </c>
      <c r="C16" s="13">
        <f>SUMIF('EDU projections'!$B$64:$B$90,'1'!$A16,'EDU projections'!$D$64:$D$90)</f>
        <v>0.02</v>
      </c>
      <c r="D16" s="13">
        <f>SUMIF('EDU projections'!$B$91:$B$117,'1'!$A16,'EDU projections'!$D$91:$D$117)</f>
        <v>0.06</v>
      </c>
      <c r="E16" s="13">
        <f>SUMIF('EDU projections'!$B$118:$B$144,'1'!$A16,'EDU projections'!$D$118:$D$144)</f>
        <v>0.15</v>
      </c>
      <c r="F16" s="13">
        <f>SUMIF('EDU projections'!$B$145:$B$171,'1'!$A16,'EDU projections'!$D$145:$D$171)</f>
        <v>7.0000000000000007E-2</v>
      </c>
      <c r="G16" s="13">
        <f>SUMIF('EDU projections'!$B$172:$B$198,'1'!$A16,'EDU projections'!$D$172:$D$198)</f>
        <v>0.28000000000000003</v>
      </c>
      <c r="H16" s="14">
        <f>SUMIF('EDU projections'!$B$199:$B$225,'1'!$A16,'EDU projections'!$D$199:$D$225)</f>
        <v>0.21</v>
      </c>
      <c r="I16" s="12">
        <f t="shared" si="9"/>
        <v>0.21</v>
      </c>
      <c r="J16" s="13">
        <f t="shared" si="10"/>
        <v>0.3</v>
      </c>
      <c r="K16" s="13">
        <f t="shared" si="11"/>
        <v>0.49</v>
      </c>
      <c r="L16" s="24">
        <f>SUMIF(UN!$A$10:'UN'!$A$95,A16,UN!$B$10:'UN'!$B$95)</f>
        <v>54125.18</v>
      </c>
      <c r="M16" s="44"/>
      <c r="N16" s="61">
        <f t="shared" si="12"/>
        <v>11.3662878</v>
      </c>
      <c r="O16" s="61">
        <f t="shared" si="3"/>
        <v>16.237553999999999</v>
      </c>
      <c r="P16" s="62">
        <f t="shared" si="4"/>
        <v>26.521338199999999</v>
      </c>
      <c r="Q16" s="89">
        <f t="shared" si="13"/>
        <v>42.758892199999998</v>
      </c>
      <c r="R16" s="29">
        <f t="shared" si="14"/>
        <v>1.6333333333333333</v>
      </c>
      <c r="S16" s="12"/>
      <c r="T16" s="23"/>
      <c r="U16" s="25"/>
      <c r="V16" s="25"/>
      <c r="W16" s="25"/>
      <c r="X16" s="26"/>
      <c r="Y16" s="12"/>
      <c r="Z16" s="13"/>
      <c r="AA16" s="13"/>
      <c r="AB16" s="14"/>
      <c r="AC16" s="12"/>
      <c r="AD16" s="13"/>
      <c r="AE16" s="13"/>
      <c r="AF16" s="14"/>
      <c r="AG16" s="12"/>
      <c r="AH16" s="13"/>
      <c r="AI16" s="13"/>
      <c r="AJ16" s="14"/>
      <c r="AV16" s="209"/>
      <c r="AW16" s="132">
        <v>2040</v>
      </c>
      <c r="AX16" s="13"/>
      <c r="AY16" s="13"/>
      <c r="AZ16" s="151">
        <f>(SUMIF($A$3:$A$29,AW16,$Y$3:$Y$29)-$AZ$10)/$AZ$10</f>
        <v>3.910489107902991E-2</v>
      </c>
      <c r="BA16" s="151">
        <f t="shared" si="30"/>
        <v>-0.11537030070496913</v>
      </c>
      <c r="BB16" s="151">
        <f t="shared" si="31"/>
        <v>-5.7894326363371898E-2</v>
      </c>
      <c r="BC16" s="151">
        <f t="shared" si="32"/>
        <v>6.4971789198802921E-2</v>
      </c>
      <c r="BD16" s="156">
        <v>27.16674368</v>
      </c>
      <c r="BE16" s="156">
        <v>15.32502929</v>
      </c>
      <c r="BF16" s="151">
        <f>(BD16/BE16-$BF$10)/$BF$10</f>
        <v>-3.0940968667626613E-2</v>
      </c>
      <c r="BG16" s="151">
        <f>((BD16+BE16)-$BG$10)/$BG$10</f>
        <v>1.3258302482572631E-2</v>
      </c>
      <c r="BH16" s="165">
        <v>7.1026236200000001</v>
      </c>
      <c r="BI16" s="155">
        <f>(BH16-$BH$10)/$BH$10</f>
        <v>-0.90745736224262707</v>
      </c>
      <c r="BJ16" s="198">
        <v>80.778580039999994</v>
      </c>
      <c r="BK16" s="44">
        <f t="shared" si="33"/>
        <v>-5.9273928167922575E-2</v>
      </c>
      <c r="BL16" s="165">
        <v>143.19547828</v>
      </c>
      <c r="BM16" s="155">
        <f>(BL16-$BL$10)/$BL$10</f>
        <v>-7.2621664414200107E-2</v>
      </c>
      <c r="BN16" s="23">
        <f t="shared" si="34"/>
        <v>1063.0370908</v>
      </c>
      <c r="BO16" s="23">
        <f t="shared" si="35"/>
        <v>27.617269757926969</v>
      </c>
      <c r="BP16" s="13"/>
      <c r="BQ16" s="13"/>
      <c r="BR16" s="13"/>
    </row>
    <row r="17" spans="1:70" x14ac:dyDescent="0.25">
      <c r="A17" s="42">
        <v>2040</v>
      </c>
      <c r="B17" s="12">
        <f>SUMIF('EDU projections'!$B$37:$B$63,'1'!$A17,'EDU projections'!$D$37:$D$63)</f>
        <v>0.2</v>
      </c>
      <c r="C17" s="13">
        <f>SUMIF('EDU projections'!$B$64:$B$90,'1'!$A17,'EDU projections'!$D$64:$D$90)</f>
        <v>0.02</v>
      </c>
      <c r="D17" s="13">
        <f>SUMIF('EDU projections'!$B$91:$B$117,'1'!$A17,'EDU projections'!$D$91:$D$117)</f>
        <v>0.05</v>
      </c>
      <c r="E17" s="13">
        <f>SUMIF('EDU projections'!$B$118:$B$144,'1'!$A17,'EDU projections'!$D$118:$D$144)</f>
        <v>0.14000000000000001</v>
      </c>
      <c r="F17" s="13">
        <f>SUMIF('EDU projections'!$B$145:$B$171,'1'!$A17,'EDU projections'!$D$145:$D$171)</f>
        <v>7.0000000000000007E-2</v>
      </c>
      <c r="G17" s="13">
        <f>SUMIF('EDU projections'!$B$172:$B$198,'1'!$A17,'EDU projections'!$D$172:$D$198)</f>
        <v>0.3</v>
      </c>
      <c r="H17" s="14">
        <f>SUMIF('EDU projections'!$B$199:$B$225,'1'!$A17,'EDU projections'!$D$199:$D$225)</f>
        <v>0.23</v>
      </c>
      <c r="I17" s="12">
        <f t="shared" si="9"/>
        <v>0.2</v>
      </c>
      <c r="J17" s="13">
        <f t="shared" si="10"/>
        <v>0.28000000000000003</v>
      </c>
      <c r="K17" s="13">
        <f t="shared" si="11"/>
        <v>0.53</v>
      </c>
      <c r="L17" s="24">
        <f>SUMIF(UN!$A$10:'UN'!$A$95,A17,UN!$B$10:'UN'!$B$95)</f>
        <v>54722.67</v>
      </c>
      <c r="M17" s="74">
        <f>(Q17-Q13)/Q13</f>
        <v>0.16114056142895866</v>
      </c>
      <c r="N17" s="61">
        <f t="shared" si="12"/>
        <v>10.944533999999999</v>
      </c>
      <c r="O17" s="61">
        <f t="shared" si="3"/>
        <v>15.322347600000001</v>
      </c>
      <c r="P17" s="62">
        <f t="shared" si="4"/>
        <v>29.003015099999999</v>
      </c>
      <c r="Q17" s="96">
        <f t="shared" si="13"/>
        <v>44.325362699999999</v>
      </c>
      <c r="R17" s="175">
        <f t="shared" si="14"/>
        <v>1.8928571428571428</v>
      </c>
      <c r="S17" s="12"/>
      <c r="T17" s="23"/>
      <c r="U17" s="63">
        <f>RCP!K2</f>
        <v>1063.0370908</v>
      </c>
      <c r="V17" s="63">
        <f>RCP!K3</f>
        <v>1138.9385179999999</v>
      </c>
      <c r="W17" s="63">
        <f>RCP!K4</f>
        <v>1112.9290860000001</v>
      </c>
      <c r="X17" s="64">
        <f>RCP!K5</f>
        <v>1270.6069692000001</v>
      </c>
      <c r="Y17" s="142">
        <f>$Z$5+$AB$3*(U17-U$9)^$AB$4*(1-$AB$5*$Z$5)</f>
        <v>27.617269757926969</v>
      </c>
      <c r="Z17" s="143">
        <f>$Z$5+$AB$3*(V17-V$9)^$AB$4*(1-$AB$5*$Z$5)</f>
        <v>27.815736143878514</v>
      </c>
      <c r="AA17" s="143">
        <f>$Z$5+$AB$3*(W17-W$9)^$AB$4*(1-$AB$5*$Z$5)</f>
        <v>27.751513057348809</v>
      </c>
      <c r="AB17" s="144">
        <f>$Z$5+$AB$3*(X17-X$9)^$AB$4*(1-$AB$5*$Z$5)</f>
        <v>28.099820573857293</v>
      </c>
      <c r="AC17" s="142">
        <f t="shared" ref="AC17:AF17" si="36">MAX(0.001, $AD$3+$AD$4*Y17+$AD$5*Y17^2)</f>
        <v>0.69830988660212068</v>
      </c>
      <c r="AD17" s="143">
        <f t="shared" si="36"/>
        <v>0.67912593856573356</v>
      </c>
      <c r="AE17" s="143">
        <f t="shared" si="36"/>
        <v>0.68539673976636273</v>
      </c>
      <c r="AF17" s="144">
        <f t="shared" si="36"/>
        <v>0.65066534788233898</v>
      </c>
      <c r="AG17" s="142">
        <f t="shared" si="26"/>
        <v>0.75514032620531002</v>
      </c>
      <c r="AH17" s="143">
        <f t="shared" si="19"/>
        <v>0.74571398389078136</v>
      </c>
      <c r="AI17" s="143">
        <f t="shared" si="20"/>
        <v>0.74878414755184131</v>
      </c>
      <c r="AJ17" s="144">
        <f t="shared" si="21"/>
        <v>0.73190583845774393</v>
      </c>
      <c r="AV17" s="209"/>
      <c r="AW17" s="132">
        <v>2060</v>
      </c>
      <c r="AX17" s="13"/>
      <c r="AY17" s="13"/>
      <c r="AZ17" s="151">
        <f>(SUMIF($A$3:$A$29,AW17,$Y$3:$Y$29)-$AZ$11)/$AZ$11</f>
        <v>3.8763291883965344E-2</v>
      </c>
      <c r="BA17" s="151">
        <f t="shared" si="30"/>
        <v>-0.11427598805293544</v>
      </c>
      <c r="BB17" s="151">
        <f t="shared" si="31"/>
        <v>-5.7361752971960736E-2</v>
      </c>
      <c r="BC17" s="151">
        <f t="shared" si="32"/>
        <v>6.4257301725242286E-2</v>
      </c>
      <c r="BD17" s="156">
        <v>33.95748322</v>
      </c>
      <c r="BE17" s="156">
        <v>9.2180982700000005</v>
      </c>
      <c r="BF17" s="151">
        <f>(BD17/BE17-$BF$11)/$BF$11</f>
        <v>-3.0631612986602278E-2</v>
      </c>
      <c r="BG17" s="151">
        <f>((BD17+BE17)-$BG$11)/$BG$11</f>
        <v>1.750771005170014E-2</v>
      </c>
      <c r="BH17" s="165">
        <v>146.18452486000001</v>
      </c>
      <c r="BI17" s="155">
        <f>(BH17-$BH$11)/$BH$11</f>
        <v>-6.6672572483791923E-2</v>
      </c>
      <c r="BJ17" s="198">
        <v>149.00619935</v>
      </c>
      <c r="BK17" s="44">
        <f t="shared" si="33"/>
        <v>-5.8017432286883094E-2</v>
      </c>
      <c r="BL17" s="165">
        <v>283.77489785</v>
      </c>
      <c r="BM17" s="155">
        <f>(BL17-$BL$11)/$BL$11</f>
        <v>-6.5705156767106462E-2</v>
      </c>
      <c r="BN17" s="23">
        <f t="shared" si="34"/>
        <v>1059.881386</v>
      </c>
      <c r="BO17" s="23">
        <f t="shared" si="35"/>
        <v>27.608190754257386</v>
      </c>
      <c r="BP17" s="13"/>
      <c r="BQ17" s="13"/>
      <c r="BR17" s="13"/>
    </row>
    <row r="18" spans="1:70" x14ac:dyDescent="0.25">
      <c r="A18" s="42">
        <v>2045</v>
      </c>
      <c r="B18" s="12">
        <f>SUMIF('EDU projections'!$B$37:$B$63,'1'!$A18,'EDU projections'!$D$37:$D$63)</f>
        <v>0.19</v>
      </c>
      <c r="C18" s="13">
        <f>SUMIF('EDU projections'!$B$64:$B$90,'1'!$A18,'EDU projections'!$D$64:$D$90)</f>
        <v>0.02</v>
      </c>
      <c r="D18" s="13">
        <f>SUMIF('EDU projections'!$B$91:$B$117,'1'!$A18,'EDU projections'!$D$91:$D$117)</f>
        <v>0.04</v>
      </c>
      <c r="E18" s="13">
        <f>SUMIF('EDU projections'!$B$118:$B$144,'1'!$A18,'EDU projections'!$D$118:$D$144)</f>
        <v>0.13</v>
      </c>
      <c r="F18" s="13">
        <f>SUMIF('EDU projections'!$B$145:$B$171,'1'!$A18,'EDU projections'!$D$145:$D$171)</f>
        <v>7.0000000000000007E-2</v>
      </c>
      <c r="G18" s="13">
        <f>SUMIF('EDU projections'!$B$172:$B$198,'1'!$A18,'EDU projections'!$D$172:$D$198)</f>
        <v>0.31</v>
      </c>
      <c r="H18" s="14">
        <f>SUMIF('EDU projections'!$B$199:$B$225,'1'!$A18,'EDU projections'!$D$199:$D$225)</f>
        <v>0.25</v>
      </c>
      <c r="I18" s="12">
        <f t="shared" si="9"/>
        <v>0.19</v>
      </c>
      <c r="J18" s="13">
        <f t="shared" si="10"/>
        <v>0.26</v>
      </c>
      <c r="K18" s="13">
        <f t="shared" si="11"/>
        <v>0.56000000000000005</v>
      </c>
      <c r="L18" s="24">
        <f>SUMIF(UN!$A$10:'UN'!$A$95,A18,UN!$B$10:'UN'!$B$95)</f>
        <v>54983.25</v>
      </c>
      <c r="M18" s="44"/>
      <c r="N18" s="61">
        <f t="shared" si="12"/>
        <v>10.446817500000002</v>
      </c>
      <c r="O18" s="61">
        <f t="shared" si="3"/>
        <v>14.295645</v>
      </c>
      <c r="P18" s="62">
        <f t="shared" si="4"/>
        <v>30.790620000000004</v>
      </c>
      <c r="Q18" s="89">
        <f t="shared" si="13"/>
        <v>45.086265000000004</v>
      </c>
      <c r="R18" s="29">
        <f t="shared" si="14"/>
        <v>2.1538461538461542</v>
      </c>
      <c r="S18" s="12"/>
      <c r="T18" s="23"/>
      <c r="U18" s="25"/>
      <c r="V18" s="25"/>
      <c r="W18" s="25"/>
      <c r="X18" s="26"/>
      <c r="Y18" s="12"/>
      <c r="Z18" s="13"/>
      <c r="AA18" s="13"/>
      <c r="AB18" s="14"/>
      <c r="AC18" s="12"/>
      <c r="AD18" s="13"/>
      <c r="AE18" s="13"/>
      <c r="AF18" s="14"/>
      <c r="AG18" s="12"/>
      <c r="AH18" s="13"/>
      <c r="AI18" s="13"/>
      <c r="AJ18" s="14"/>
      <c r="AV18" s="209"/>
      <c r="AW18" s="132">
        <v>2080</v>
      </c>
      <c r="AX18" s="13"/>
      <c r="AY18" s="13"/>
      <c r="AZ18" s="151">
        <f>(SUMIF($A$3:$A$29,AW18,$Y$3:$Y$29)-$AZ$12)/$AZ$12</f>
        <v>3.5834419300586881E-2</v>
      </c>
      <c r="BA18" s="151">
        <f t="shared" si="30"/>
        <v>-0.10495592130212258</v>
      </c>
      <c r="BB18" s="151">
        <f t="shared" si="31"/>
        <v>-5.281488273732949E-2</v>
      </c>
      <c r="BC18" s="151">
        <f t="shared" si="32"/>
        <v>5.8255274578933126E-2</v>
      </c>
      <c r="BD18" s="156">
        <v>35.952575580000001</v>
      </c>
      <c r="BE18" s="156">
        <v>4.6847242099999997</v>
      </c>
      <c r="BF18" s="151">
        <f>(BD18/BE18-$BF$12)/$BF$12</f>
        <v>-2.7876592814877369E-2</v>
      </c>
      <c r="BG18" s="151">
        <f>((BD18+BE18)-$BG$12)/$BG$12</f>
        <v>1.9685326014606878E-2</v>
      </c>
      <c r="BH18" s="165">
        <v>260.98214406</v>
      </c>
      <c r="BI18" s="155">
        <f>(BH18-$BH$12)/$BH$12</f>
        <v>-5.7260368460429839E-2</v>
      </c>
      <c r="BJ18" s="198">
        <v>251.04917169000001</v>
      </c>
      <c r="BK18" s="44">
        <f t="shared" si="33"/>
        <v>-5.306151465192805E-2</v>
      </c>
      <c r="BL18" s="165">
        <v>496.64296106</v>
      </c>
      <c r="BM18" s="155">
        <f>(BL18-$BL$12)/$BL$12</f>
        <v>-5.6816833973087587E-2</v>
      </c>
      <c r="BN18" s="23">
        <f t="shared" si="34"/>
        <v>1033.9607608000001</v>
      </c>
      <c r="BO18" s="23">
        <f t="shared" si="35"/>
        <v>27.530347347960102</v>
      </c>
      <c r="BP18" s="13"/>
      <c r="BQ18" s="13"/>
      <c r="BR18" s="13"/>
    </row>
    <row r="19" spans="1:70" ht="15.75" thickBot="1" x14ac:dyDescent="0.3">
      <c r="A19" s="42">
        <v>2050</v>
      </c>
      <c r="B19" s="12">
        <f>SUMIF('EDU projections'!$B$37:$B$63,'1'!$A19,'EDU projections'!$D$37:$D$63)</f>
        <v>0.18</v>
      </c>
      <c r="C19" s="13">
        <f>SUMIF('EDU projections'!$B$64:$B$90,'1'!$A19,'EDU projections'!$D$64:$D$90)</f>
        <v>0.01</v>
      </c>
      <c r="D19" s="13">
        <f>SUMIF('EDU projections'!$B$91:$B$117,'1'!$A19,'EDU projections'!$D$91:$D$117)</f>
        <v>0.04</v>
      </c>
      <c r="E19" s="13">
        <f>SUMIF('EDU projections'!$B$118:$B$144,'1'!$A19,'EDU projections'!$D$118:$D$144)</f>
        <v>0.12</v>
      </c>
      <c r="F19" s="13">
        <f>SUMIF('EDU projections'!$B$145:$B$171,'1'!$A19,'EDU projections'!$D$145:$D$171)</f>
        <v>0.06</v>
      </c>
      <c r="G19" s="13">
        <f>SUMIF('EDU projections'!$B$172:$B$198,'1'!$A19,'EDU projections'!$D$172:$D$198)</f>
        <v>0.33</v>
      </c>
      <c r="H19" s="14">
        <f>SUMIF('EDU projections'!$B$199:$B$225,'1'!$A19,'EDU projections'!$D$199:$D$225)</f>
        <v>0.27</v>
      </c>
      <c r="I19" s="12">
        <f t="shared" si="9"/>
        <v>0.18</v>
      </c>
      <c r="J19" s="13">
        <f t="shared" si="10"/>
        <v>0.22999999999999998</v>
      </c>
      <c r="K19" s="13">
        <f t="shared" si="11"/>
        <v>0.60000000000000009</v>
      </c>
      <c r="L19" s="24">
        <f>SUMIF(UN!$A$10:'UN'!$A$95,A19,UN!$B$10:'UN'!$B$95)</f>
        <v>54927.275000000001</v>
      </c>
      <c r="M19" s="44"/>
      <c r="N19" s="61">
        <f t="shared" si="12"/>
        <v>9.8869094999999998</v>
      </c>
      <c r="O19" s="61">
        <f t="shared" si="3"/>
        <v>12.63327325</v>
      </c>
      <c r="P19" s="62">
        <f t="shared" si="4"/>
        <v>32.956365000000005</v>
      </c>
      <c r="Q19" s="89">
        <f t="shared" si="13"/>
        <v>45.589638250000007</v>
      </c>
      <c r="R19" s="29">
        <f t="shared" si="14"/>
        <v>2.6086956521739135</v>
      </c>
      <c r="S19" s="12"/>
      <c r="T19" s="23"/>
      <c r="U19" s="25">
        <f>RCP!L2</f>
        <v>1067.0395236000002</v>
      </c>
      <c r="V19" s="25">
        <f>RCP!L3</f>
        <v>1207.7963936000001</v>
      </c>
      <c r="W19" s="25">
        <f>RCP!L4</f>
        <v>1191.4936360000002</v>
      </c>
      <c r="X19" s="26">
        <f>RCP!L5</f>
        <v>1448.0907616000002</v>
      </c>
      <c r="Y19" s="12">
        <f>$Z$5+$AB$3*(U19-U$9)^$AB$4*(1-$AB$5*$Z$5)</f>
        <v>27.628671968961232</v>
      </c>
      <c r="Z19" s="13">
        <f>$Z$5+$AB$3*(V19-V$9)^$AB$4*(1-$AB$5*$Z$5)</f>
        <v>27.971544447831896</v>
      </c>
      <c r="AA19" s="13">
        <f>$Z$5+$AB$3*(W19-W$9)^$AB$4*(1-$AB$5*$Z$5)</f>
        <v>27.936271096029529</v>
      </c>
      <c r="AB19" s="14">
        <f>$Z$5+$AB$3*(X19-X$9)^$AB$4*(1-$AB$5*$Z$5)</f>
        <v>28.414484413019178</v>
      </c>
      <c r="AC19" s="12">
        <f t="shared" ref="AC19:AF19" si="37">MAX(0.001, $AD$3+$AD$4*Y19+$AD$5*Y19^2)</f>
        <v>0.69722330863027171</v>
      </c>
      <c r="AD19" s="13">
        <f t="shared" si="37"/>
        <v>0.66366240871386584</v>
      </c>
      <c r="AE19" s="13">
        <f t="shared" si="37"/>
        <v>0.66719422549585428</v>
      </c>
      <c r="AF19" s="14">
        <f t="shared" si="37"/>
        <v>0.61776585066862388</v>
      </c>
      <c r="AG19" s="12">
        <f t="shared" si="26"/>
        <v>0.75460367354943081</v>
      </c>
      <c r="AH19" s="13">
        <f t="shared" si="19"/>
        <v>0.73818676859337051</v>
      </c>
      <c r="AI19" s="13">
        <f t="shared" si="20"/>
        <v>0.73990062935539602</v>
      </c>
      <c r="AJ19" s="14">
        <f t="shared" si="21"/>
        <v>0.71617802678880182</v>
      </c>
      <c r="AV19" s="210"/>
      <c r="AW19" s="133">
        <v>2100</v>
      </c>
      <c r="AX19" s="16"/>
      <c r="AY19" s="16"/>
      <c r="AZ19" s="152">
        <f>(SUMIF($A$3:$A$29,AW19,$Y$3:$Y$29)-$AZ$13)/$AZ$13</f>
        <v>3.2562177449192549E-2</v>
      </c>
      <c r="BA19" s="152">
        <f t="shared" si="30"/>
        <v>-9.4675761691592128E-2</v>
      </c>
      <c r="BB19" s="152">
        <f t="shared" si="31"/>
        <v>-4.777608558172039E-2</v>
      </c>
      <c r="BC19" s="152">
        <f t="shared" si="32"/>
        <v>5.1804286381974533E-2</v>
      </c>
      <c r="BD19" s="157">
        <v>34.535087249999997</v>
      </c>
      <c r="BE19" s="157">
        <v>2.1594510200000001</v>
      </c>
      <c r="BF19" s="152">
        <f>(BD19/BE19-$BF$13)/$BF$13</f>
        <v>-2.484567228219435E-2</v>
      </c>
      <c r="BG19" s="152">
        <f>((BD19+BE19)-$BG$13)/$BG$13</f>
        <v>2.0696870652164658E-2</v>
      </c>
      <c r="BH19" s="166">
        <v>0</v>
      </c>
      <c r="BI19" s="17"/>
      <c r="BJ19" s="199">
        <v>399.52767195000001</v>
      </c>
      <c r="BK19" s="200">
        <f t="shared" si="33"/>
        <v>-4.7752109917356594E-2</v>
      </c>
      <c r="BL19" s="166">
        <v>805.55066201</v>
      </c>
      <c r="BM19" s="17">
        <f>(BL19-$BL$13)/$BL$13</f>
        <v>-4.9460072232312101E-2</v>
      </c>
      <c r="BN19" s="53">
        <f t="shared" si="34"/>
        <v>1007.40863</v>
      </c>
      <c r="BO19" s="53">
        <f t="shared" si="35"/>
        <v>27.443377893096606</v>
      </c>
      <c r="BP19" s="13"/>
      <c r="BQ19" s="13"/>
      <c r="BR19" s="13"/>
    </row>
    <row r="20" spans="1:70" x14ac:dyDescent="0.25">
      <c r="A20" s="42">
        <v>2055</v>
      </c>
      <c r="B20" s="12">
        <f>SUMIF('EDU projections'!$B$37:$B$63,'1'!$A20,'EDU projections'!$D$37:$D$63)</f>
        <v>0.17</v>
      </c>
      <c r="C20" s="13">
        <f>SUMIF('EDU projections'!$B$64:$B$90,'1'!$A20,'EDU projections'!$D$64:$D$90)</f>
        <v>0.01</v>
      </c>
      <c r="D20" s="13">
        <f>SUMIF('EDU projections'!$B$91:$B$117,'1'!$A20,'EDU projections'!$D$91:$D$117)</f>
        <v>0.03</v>
      </c>
      <c r="E20" s="13">
        <f>SUMIF('EDU projections'!$B$118:$B$144,'1'!$A20,'EDU projections'!$D$118:$D$144)</f>
        <v>0.1</v>
      </c>
      <c r="F20" s="13">
        <f>SUMIF('EDU projections'!$B$145:$B$171,'1'!$A20,'EDU projections'!$D$145:$D$171)</f>
        <v>0.06</v>
      </c>
      <c r="G20" s="13">
        <f>SUMIF('EDU projections'!$B$172:$B$198,'1'!$A20,'EDU projections'!$D$172:$D$198)</f>
        <v>0.34</v>
      </c>
      <c r="H20" s="14">
        <f>SUMIF('EDU projections'!$B$199:$B$225,'1'!$A20,'EDU projections'!$D$199:$D$225)</f>
        <v>0.28999999999999998</v>
      </c>
      <c r="I20" s="12">
        <f t="shared" si="9"/>
        <v>0.17</v>
      </c>
      <c r="J20" s="13">
        <f t="shared" si="10"/>
        <v>0.2</v>
      </c>
      <c r="K20" s="13">
        <f t="shared" si="11"/>
        <v>0.63</v>
      </c>
      <c r="L20" s="24">
        <f>SUMIF(UN!$A$10:'UN'!$A$95,A20,UN!$B$10:'UN'!$B$95)</f>
        <v>54614.807999999997</v>
      </c>
      <c r="M20" s="44"/>
      <c r="N20" s="61">
        <f t="shared" si="12"/>
        <v>9.2845173600000006</v>
      </c>
      <c r="O20" s="61">
        <f t="shared" si="3"/>
        <v>10.922961600000001</v>
      </c>
      <c r="P20" s="62">
        <f t="shared" si="4"/>
        <v>34.407329039999993</v>
      </c>
      <c r="Q20" s="89">
        <f t="shared" si="13"/>
        <v>45.330290639999994</v>
      </c>
      <c r="R20" s="29">
        <f t="shared" si="14"/>
        <v>3.149999999999999</v>
      </c>
      <c r="S20" s="12"/>
      <c r="T20" s="23"/>
      <c r="U20" s="25"/>
      <c r="V20" s="25"/>
      <c r="W20" s="25"/>
      <c r="X20" s="26"/>
      <c r="Y20" s="12"/>
      <c r="Z20" s="13"/>
      <c r="AA20" s="13"/>
      <c r="AB20" s="14"/>
      <c r="AC20" s="12"/>
      <c r="AD20" s="13"/>
      <c r="AE20" s="13"/>
      <c r="AF20" s="14"/>
      <c r="AG20" s="12"/>
      <c r="AH20" s="13"/>
      <c r="AI20" s="13"/>
      <c r="AJ20" s="14"/>
      <c r="AV20" s="208" t="s">
        <v>125</v>
      </c>
      <c r="AW20" s="131">
        <v>2000</v>
      </c>
      <c r="AX20" s="10"/>
      <c r="AY20" s="10"/>
      <c r="AZ20" s="150">
        <f>(SUMIF($A$3:$A$29,AW20,$Z$3:$Z$29)-$AZ$8)/$AZ$8</f>
        <v>0</v>
      </c>
      <c r="BA20" s="150">
        <f>(SUMIF($A$3:$A$29,AW20,$AD$3:$AD$29)-$BA8)/$BA8</f>
        <v>0</v>
      </c>
      <c r="BB20" s="150">
        <f>(SUMIF($A$3:$A$29,AW20,$AH$3:$AH$29)-$BB8)/$BB8</f>
        <v>0</v>
      </c>
      <c r="BC20" s="150">
        <f>(SUMIF($A$3:$A$29,AW20,$AH$3:$AH$29)/SUMIF($A$3:$A$29,AW20,$AD$3:$AD$29)-$BC8)/$BC8</f>
        <v>0</v>
      </c>
      <c r="BD20" s="158">
        <v>7.95740947</v>
      </c>
      <c r="BE20" s="158">
        <v>18.772590529999999</v>
      </c>
      <c r="BF20" s="150">
        <f t="shared" ref="BF20" si="38">(BD20/BE20-$BF$8)/$BF$8</f>
        <v>0</v>
      </c>
      <c r="BG20" s="150">
        <f t="shared" ref="BG20" si="39">((BD20+BE20)-$BG$8)/$BG$8</f>
        <v>0</v>
      </c>
      <c r="BH20" s="164">
        <v>9.1500896399999991</v>
      </c>
      <c r="BI20" s="154">
        <f>(BH20-$BH$8)/$BH$8</f>
        <v>-3.8452850101144374E-3</v>
      </c>
      <c r="BJ20" s="197">
        <v>16.598279389999998</v>
      </c>
      <c r="BK20" s="194">
        <f>(BJ20-$BJ8)/$BJ8</f>
        <v>0</v>
      </c>
      <c r="BL20" s="164">
        <v>21.760224659999999</v>
      </c>
      <c r="BM20" s="154">
        <f t="shared" ref="BM20" si="40">(BL20-$BL$8)/$BL$8</f>
        <v>0</v>
      </c>
      <c r="BN20" s="23">
        <f>SUMIF($A$3:$A$29,AW20,$V$3:$V$29)</f>
        <v>881.61855719999994</v>
      </c>
      <c r="BO20" s="23">
        <f>SUMIF($A$3:$A$29,AW20,$Z$3:$Z$29)</f>
        <v>26.577942222222219</v>
      </c>
      <c r="BP20" s="13"/>
      <c r="BQ20" s="13"/>
      <c r="BR20" s="13"/>
    </row>
    <row r="21" spans="1:70" x14ac:dyDescent="0.25">
      <c r="A21" s="42">
        <v>2060</v>
      </c>
      <c r="B21" s="12">
        <f>SUMIF('EDU projections'!$B$37:$B$63,'1'!$A21,'EDU projections'!$D$37:$D$63)</f>
        <v>0.16</v>
      </c>
      <c r="C21" s="13">
        <f>SUMIF('EDU projections'!$B$64:$B$90,'1'!$A21,'EDU projections'!$D$64:$D$90)</f>
        <v>0.01</v>
      </c>
      <c r="D21" s="13">
        <f>SUMIF('EDU projections'!$B$91:$B$117,'1'!$A21,'EDU projections'!$D$91:$D$117)</f>
        <v>0.02</v>
      </c>
      <c r="E21" s="13">
        <f>SUMIF('EDU projections'!$B$118:$B$144,'1'!$A21,'EDU projections'!$D$118:$D$144)</f>
        <v>0.09</v>
      </c>
      <c r="F21" s="13">
        <f>SUMIF('EDU projections'!$B$145:$B$171,'1'!$A21,'EDU projections'!$D$145:$D$171)</f>
        <v>0.05</v>
      </c>
      <c r="G21" s="13">
        <f>SUMIF('EDU projections'!$B$172:$B$198,'1'!$A21,'EDU projections'!$D$172:$D$198)</f>
        <v>0.35</v>
      </c>
      <c r="H21" s="14">
        <f>SUMIF('EDU projections'!$B$199:$B$225,'1'!$A21,'EDU projections'!$D$199:$D$225)</f>
        <v>0.31</v>
      </c>
      <c r="I21" s="12">
        <f t="shared" si="9"/>
        <v>0.16</v>
      </c>
      <c r="J21" s="13">
        <f t="shared" si="10"/>
        <v>0.16999999999999998</v>
      </c>
      <c r="K21" s="13">
        <f t="shared" si="11"/>
        <v>0.65999999999999992</v>
      </c>
      <c r="L21" s="24">
        <f>SUMIF(UN!$A$10:'UN'!$A$95,A21,UN!$B$10:'UN'!$B$95)</f>
        <v>54073.103000000003</v>
      </c>
      <c r="M21" s="74">
        <f>(Q21-Q17)/Q17</f>
        <v>1.2528104817966941E-2</v>
      </c>
      <c r="N21" s="61">
        <f t="shared" si="12"/>
        <v>8.65169648</v>
      </c>
      <c r="O21" s="61">
        <f t="shared" si="3"/>
        <v>9.1924275099999999</v>
      </c>
      <c r="P21" s="62">
        <f t="shared" si="4"/>
        <v>35.68824798</v>
      </c>
      <c r="Q21" s="96">
        <f t="shared" si="13"/>
        <v>44.880675490000002</v>
      </c>
      <c r="R21" s="175">
        <f t="shared" si="14"/>
        <v>3.8823529411764706</v>
      </c>
      <c r="S21" s="12"/>
      <c r="T21" s="23"/>
      <c r="U21" s="63">
        <f>RCP!M2</f>
        <v>1059.881386</v>
      </c>
      <c r="V21" s="63">
        <f>RCP!M3</f>
        <v>1265.6261140000001</v>
      </c>
      <c r="W21" s="63">
        <f>RCP!M4</f>
        <v>1286.1588864</v>
      </c>
      <c r="X21" s="64">
        <f>RCP!M5</f>
        <v>1665.4800136000001</v>
      </c>
      <c r="Y21" s="142">
        <f>$Z$5+$AB$3*(U21-U$9)^$AB$4*(1-$AB$5*$Z$5)</f>
        <v>27.608190754257386</v>
      </c>
      <c r="Z21" s="143">
        <f>$Z$5+$AB$3*(V21-V$9)^$AB$4*(1-$AB$5*$Z$5)</f>
        <v>28.090045632390911</v>
      </c>
      <c r="AA21" s="143">
        <f>$Z$5+$AB$3*(W21-W$9)^$AB$4*(1-$AB$5*$Z$5)</f>
        <v>28.129945089219181</v>
      </c>
      <c r="AB21" s="144">
        <f>$Z$5+$AB$3*(X21-X$9)^$AB$4*(1-$AB$5*$Z$5)</f>
        <v>28.738327765629862</v>
      </c>
      <c r="AC21" s="142">
        <f t="shared" ref="AC21:AF21" si="41">MAX(0.001, $AD$3+$AD$4*Y21+$AD$5*Y21^2)</f>
        <v>0.69917371622999536</v>
      </c>
      <c r="AD21" s="143">
        <f t="shared" si="41"/>
        <v>0.65166421027883281</v>
      </c>
      <c r="AE21" s="143">
        <f t="shared" si="41"/>
        <v>0.64757826920535777</v>
      </c>
      <c r="AF21" s="144">
        <f t="shared" si="41"/>
        <v>0.58239712763115925</v>
      </c>
      <c r="AG21" s="142">
        <f t="shared" si="26"/>
        <v>0.75556720787662623</v>
      </c>
      <c r="AH21" s="143">
        <f t="shared" si="19"/>
        <v>0.73238712424272445</v>
      </c>
      <c r="AI21" s="143">
        <f t="shared" si="20"/>
        <v>0.73041984247581593</v>
      </c>
      <c r="AJ21" s="144">
        <f t="shared" si="21"/>
        <v>0.69951581089141257</v>
      </c>
      <c r="AV21" s="209"/>
      <c r="AW21" s="132">
        <v>2020</v>
      </c>
      <c r="AX21" s="13"/>
      <c r="AY21" s="13"/>
      <c r="AZ21" s="151">
        <f t="shared" ref="AZ21:AZ25" si="42">(SUMIF($A$3:$A$29,AW21,$Z$3:$Z$29)-$AZ$8)/$AZ$8</f>
        <v>3.166221118096392E-2</v>
      </c>
      <c r="BA21" s="151">
        <f t="shared" ref="BA21:BA25" si="43">(SUMIF($A$3:$A$29,AW21,$AD$3:$AD$29)-$BA9)/$BA9</f>
        <v>-9.1872932898381957E-2</v>
      </c>
      <c r="BB21" s="151">
        <f t="shared" ref="BB21:BB25" si="44">(SUMIF($A$3:$A$29,AW21,$AH$3:$AH$29)-$BB9)/$BB9</f>
        <v>-4.6397873625635133E-2</v>
      </c>
      <c r="BC21" s="151">
        <f t="shared" ref="BC21:BC25" si="45">(SUMIF($A$3:$A$29,AW21,$AH$3:$AH$29)/SUMIF($A$3:$A$29,AW21,$AD$3:$AD$29)-$BC9)/$BC9</f>
        <v>5.0075656722671301E-2</v>
      </c>
      <c r="BD21" s="156">
        <v>17.025232989999999</v>
      </c>
      <c r="BE21" s="156">
        <v>19.81253826</v>
      </c>
      <c r="BF21" s="151">
        <f t="shared" ref="BF21" si="46">(BD21/BE21-$BF$9)/$BF$9</f>
        <v>-2.4143011375455617E-2</v>
      </c>
      <c r="BG21" s="151">
        <f t="shared" ref="BG21" si="47">((BD21+BE21)-$BG$9)/$BG$9</f>
        <v>6.6798005574625801E-3</v>
      </c>
      <c r="BH21" s="165">
        <v>28.247813990000001</v>
      </c>
      <c r="BI21" s="155">
        <f>(BH21-$BH$9)/$BH$9</f>
        <v>-6.89241001668741E-2</v>
      </c>
      <c r="BJ21" s="198">
        <v>38.818418979999997</v>
      </c>
      <c r="BK21" s="44">
        <f t="shared" ref="BK21:BK25" si="48">(BJ21-$BJ9)/$BJ9</f>
        <v>-4.8704744471214652E-2</v>
      </c>
      <c r="BL21" s="165">
        <v>60.887535329999999</v>
      </c>
      <c r="BM21" s="155">
        <f t="shared" ref="BM21" si="49">(BL21-$BL$9)/$BL$9</f>
        <v>-6.480979939176193E-2</v>
      </c>
      <c r="BN21" s="23">
        <f t="shared" ref="BN21:BN25" si="50">SUMIF($A$3:$A$29,AW21,$V$3:$V$29)</f>
        <v>1000.5514476000001</v>
      </c>
      <c r="BO21" s="23">
        <f t="shared" ref="BO21:BO25" si="51">SUMIF($A$3:$A$29,AW21,$Z$3:$Z$29)</f>
        <v>27.419458641617677</v>
      </c>
      <c r="BP21" s="13"/>
      <c r="BQ21" s="13"/>
      <c r="BR21" s="13"/>
    </row>
    <row r="22" spans="1:70" x14ac:dyDescent="0.25">
      <c r="A22" s="42">
        <v>2065</v>
      </c>
      <c r="B22" s="12">
        <f>SUMIF('EDU projections'!$B$37:$B$63,'1'!$A22,'EDU projections'!$D$37:$D$63)</f>
        <v>0.15</v>
      </c>
      <c r="C22" s="13">
        <f>SUMIF('EDU projections'!$B$64:$B$90,'1'!$A22,'EDU projections'!$D$64:$D$90)</f>
        <v>0.01</v>
      </c>
      <c r="D22" s="13">
        <f>SUMIF('EDU projections'!$B$91:$B$117,'1'!$A22,'EDU projections'!$D$91:$D$117)</f>
        <v>0.02</v>
      </c>
      <c r="E22" s="13">
        <f>SUMIF('EDU projections'!$B$118:$B$144,'1'!$A22,'EDU projections'!$D$118:$D$144)</f>
        <v>0.08</v>
      </c>
      <c r="F22" s="13">
        <f>SUMIF('EDU projections'!$B$145:$B$171,'1'!$A22,'EDU projections'!$D$145:$D$171)</f>
        <v>0.05</v>
      </c>
      <c r="G22" s="13">
        <f>SUMIF('EDU projections'!$B$172:$B$198,'1'!$A22,'EDU projections'!$D$172:$D$198)</f>
        <v>0.35</v>
      </c>
      <c r="H22" s="14">
        <f>SUMIF('EDU projections'!$B$199:$B$225,'1'!$A22,'EDU projections'!$D$199:$D$225)</f>
        <v>0.34</v>
      </c>
      <c r="I22" s="12">
        <f t="shared" si="9"/>
        <v>0.15</v>
      </c>
      <c r="J22" s="13">
        <f t="shared" si="10"/>
        <v>0.16</v>
      </c>
      <c r="K22" s="13">
        <f t="shared" si="11"/>
        <v>0.69</v>
      </c>
      <c r="L22" s="24">
        <f>SUMIF(UN!$A$10:'UN'!$A$95,A22,UN!$B$10:'UN'!$B$95)</f>
        <v>53346.678</v>
      </c>
      <c r="M22" s="44"/>
      <c r="N22" s="61">
        <f t="shared" si="12"/>
        <v>8.0020016999999992</v>
      </c>
      <c r="O22" s="61">
        <f t="shared" si="3"/>
        <v>8.5354684799999987</v>
      </c>
      <c r="P22" s="62">
        <f t="shared" si="4"/>
        <v>36.809207819999997</v>
      </c>
      <c r="Q22" s="89">
        <f t="shared" si="13"/>
        <v>45.344676299999996</v>
      </c>
      <c r="R22" s="29">
        <f t="shared" si="14"/>
        <v>4.3125</v>
      </c>
      <c r="S22" s="12"/>
      <c r="T22" s="23"/>
      <c r="U22" s="25"/>
      <c r="V22" s="25"/>
      <c r="W22" s="25"/>
      <c r="X22" s="26"/>
      <c r="Y22" s="12"/>
      <c r="Z22" s="13"/>
      <c r="AA22" s="13"/>
      <c r="AB22" s="14"/>
      <c r="AC22" s="12"/>
      <c r="AD22" s="13"/>
      <c r="AE22" s="13"/>
      <c r="AF22" s="14"/>
      <c r="AG22" s="12"/>
      <c r="AH22" s="13"/>
      <c r="AI22" s="13"/>
      <c r="AJ22" s="14"/>
      <c r="AV22" s="209"/>
      <c r="AW22" s="132">
        <v>2040</v>
      </c>
      <c r="AX22" s="13"/>
      <c r="AY22" s="13"/>
      <c r="AZ22" s="151">
        <f t="shared" si="42"/>
        <v>4.6572225618782333E-2</v>
      </c>
      <c r="BA22" s="151">
        <f t="shared" si="43"/>
        <v>-0.13967282098761566</v>
      </c>
      <c r="BB22" s="151">
        <f t="shared" si="44"/>
        <v>-6.965453869474722E-2</v>
      </c>
      <c r="BC22" s="151">
        <f t="shared" si="45"/>
        <v>8.13856449045888E-2</v>
      </c>
      <c r="BD22" s="156">
        <v>27.138433509999999</v>
      </c>
      <c r="BE22" s="156">
        <v>15.42679255</v>
      </c>
      <c r="BF22" s="151">
        <f t="shared" ref="BF22" si="52">(BD22/BE22-$BF$10)/$BF$10</f>
        <v>-3.8336577603268918E-2</v>
      </c>
      <c r="BG22" s="151">
        <f t="shared" ref="BG22" si="53">((BD22+BE22)-$BG$10)/$BG$10</f>
        <v>1.5009863975147853E-2</v>
      </c>
      <c r="BH22" s="165">
        <v>69.769331660000006</v>
      </c>
      <c r="BI22" s="155">
        <f>(BH22-$BH$10)/$BH$10</f>
        <v>-9.0950283750867139E-2</v>
      </c>
      <c r="BJ22" s="198">
        <v>79.737118100000004</v>
      </c>
      <c r="BK22" s="44">
        <f t="shared" si="48"/>
        <v>-7.1402519674404405E-2</v>
      </c>
      <c r="BL22" s="165">
        <v>140.85232465999999</v>
      </c>
      <c r="BM22" s="155">
        <f t="shared" ref="BM22" si="54">(BL22-$BL$10)/$BL$10</f>
        <v>-8.7796654087326884E-2</v>
      </c>
      <c r="BN22" s="23">
        <f t="shared" si="50"/>
        <v>1138.9385179999999</v>
      </c>
      <c r="BO22" s="23">
        <f t="shared" si="51"/>
        <v>27.815736143878514</v>
      </c>
      <c r="BP22" s="13"/>
      <c r="BQ22" s="13"/>
      <c r="BR22" s="13"/>
    </row>
    <row r="23" spans="1:70" x14ac:dyDescent="0.25">
      <c r="A23" s="42">
        <v>2070</v>
      </c>
      <c r="B23" s="12">
        <f>SUMIF('EDU projections'!$B$37:$B$63,'1'!$A23,'EDU projections'!$D$37:$D$63)</f>
        <v>0.15</v>
      </c>
      <c r="C23" s="13">
        <f>SUMIF('EDU projections'!$B$64:$B$90,'1'!$A23,'EDU projections'!$D$64:$D$90)</f>
        <v>0.01</v>
      </c>
      <c r="D23" s="13">
        <f>SUMIF('EDU projections'!$B$91:$B$117,'1'!$A23,'EDU projections'!$D$91:$D$117)</f>
        <v>0.01</v>
      </c>
      <c r="E23" s="13">
        <f>SUMIF('EDU projections'!$B$118:$B$144,'1'!$A23,'EDU projections'!$D$118:$D$144)</f>
        <v>7.0000000000000007E-2</v>
      </c>
      <c r="F23" s="13">
        <f>SUMIF('EDU projections'!$B$145:$B$171,'1'!$A23,'EDU projections'!$D$145:$D$171)</f>
        <v>0.04</v>
      </c>
      <c r="G23" s="13">
        <f>SUMIF('EDU projections'!$B$172:$B$198,'1'!$A23,'EDU projections'!$D$172:$D$198)</f>
        <v>0.36</v>
      </c>
      <c r="H23" s="14">
        <f>SUMIF('EDU projections'!$B$199:$B$225,'1'!$A23,'EDU projections'!$D$199:$D$225)</f>
        <v>0.36</v>
      </c>
      <c r="I23" s="12">
        <f t="shared" si="9"/>
        <v>0.15</v>
      </c>
      <c r="J23" s="13">
        <f t="shared" si="10"/>
        <v>0.13</v>
      </c>
      <c r="K23" s="13">
        <f t="shared" si="11"/>
        <v>0.72</v>
      </c>
      <c r="L23" s="24">
        <f>SUMIF(UN!$A$10:'UN'!$A$95,A23,UN!$B$10:'UN'!$B$95)</f>
        <v>52451.05</v>
      </c>
      <c r="M23" s="44"/>
      <c r="N23" s="61">
        <f t="shared" si="12"/>
        <v>7.8676575</v>
      </c>
      <c r="O23" s="61">
        <f t="shared" si="3"/>
        <v>6.8186365000000002</v>
      </c>
      <c r="P23" s="62">
        <f t="shared" si="4"/>
        <v>37.764755999999998</v>
      </c>
      <c r="Q23" s="89">
        <f t="shared" si="13"/>
        <v>44.583392500000002</v>
      </c>
      <c r="R23" s="29">
        <f t="shared" si="14"/>
        <v>5.5384615384615383</v>
      </c>
      <c r="S23" s="12"/>
      <c r="T23" s="23"/>
      <c r="U23" s="25">
        <f>RCP!N2</f>
        <v>1047.7545196000001</v>
      </c>
      <c r="V23" s="25">
        <f>RCP!N3</f>
        <v>1303.3116792000001</v>
      </c>
      <c r="W23" s="25">
        <f>RCP!N4</f>
        <v>1396.7136004000001</v>
      </c>
      <c r="X23" s="26">
        <f>RCP!N5</f>
        <v>1913.3613316000001</v>
      </c>
      <c r="Y23" s="12">
        <f>$Z$5+$AB$3*(U23-U$9)^$AB$4*(1-$AB$5*$Z$5)</f>
        <v>27.572530721896499</v>
      </c>
      <c r="Z23" s="13">
        <f>$Z$5+$AB$3*(V23-V$9)^$AB$4*(1-$AB$5*$Z$5)</f>
        <v>28.162506518862791</v>
      </c>
      <c r="AA23" s="13">
        <f>$Z$5+$AB$3*(W23-W$9)^$AB$4*(1-$AB$5*$Z$5)</f>
        <v>28.329221031760881</v>
      </c>
      <c r="AB23" s="14">
        <f>$Z$5+$AB$3*(X23-X$9)^$AB$4*(1-$AB$5*$Z$5)</f>
        <v>29.056490173752465</v>
      </c>
      <c r="AC23" s="12">
        <f t="shared" ref="AC23:AF23" si="55">MAX(0.001, $AD$3+$AD$4*Y23+$AD$5*Y23^2)</f>
        <v>0.70255497435165992</v>
      </c>
      <c r="AD23" s="13">
        <f t="shared" si="55"/>
        <v>0.64422656180731863</v>
      </c>
      <c r="AE23" s="13">
        <f t="shared" si="55"/>
        <v>0.62682329863790098</v>
      </c>
      <c r="AF23" s="14">
        <f t="shared" si="55"/>
        <v>0.54615773862893136</v>
      </c>
      <c r="AG23" s="12">
        <f t="shared" si="26"/>
        <v>0.75724022180888939</v>
      </c>
      <c r="AH23" s="13">
        <f t="shared" si="19"/>
        <v>0.72880894263154783</v>
      </c>
      <c r="AI23" s="13">
        <f t="shared" si="20"/>
        <v>0.72048472472823555</v>
      </c>
      <c r="AJ23" s="14">
        <f t="shared" si="21"/>
        <v>0.68267608510023781</v>
      </c>
      <c r="AV23" s="209"/>
      <c r="AW23" s="132">
        <v>2060</v>
      </c>
      <c r="AX23" s="13"/>
      <c r="AY23" s="13"/>
      <c r="AZ23" s="151">
        <f t="shared" si="42"/>
        <v>5.6893170943249291E-2</v>
      </c>
      <c r="BA23" s="151">
        <f t="shared" si="43"/>
        <v>-0.17446176054390847</v>
      </c>
      <c r="BB23" s="151">
        <f t="shared" si="44"/>
        <v>-8.6280998242055096E-2</v>
      </c>
      <c r="BC23" s="151">
        <f t="shared" si="45"/>
        <v>0.10681608444928181</v>
      </c>
      <c r="BD23" s="156">
        <v>33.96400482</v>
      </c>
      <c r="BE23" s="156">
        <v>9.4026663799999994</v>
      </c>
      <c r="BF23" s="151">
        <f t="shared" ref="BF23" si="56">(BD23/BE23-$BF$11)/$BF$11</f>
        <v>-4.9477157345523472E-2</v>
      </c>
      <c r="BG23" s="151">
        <f t="shared" ref="BG23" si="57">((BD23+BE23)-$BG$11)/$BG$11</f>
        <v>2.2011071593723078E-2</v>
      </c>
      <c r="BH23" s="165">
        <v>14.07367316</v>
      </c>
      <c r="BI23" s="155">
        <f>(BH23-$BH$11)/$BH$11</f>
        <v>-0.91014544679947251</v>
      </c>
      <c r="BJ23" s="198">
        <v>144.35696730000001</v>
      </c>
      <c r="BK23" s="44">
        <f t="shared" si="48"/>
        <v>-8.7408796964711946E-2</v>
      </c>
      <c r="BL23" s="165">
        <v>273.47668133000002</v>
      </c>
      <c r="BM23" s="155">
        <f t="shared" ref="BM23" si="58">(BL23-$BL$11)/$BL$11</f>
        <v>-9.961080050807479E-2</v>
      </c>
      <c r="BN23" s="23">
        <f t="shared" si="50"/>
        <v>1265.6261140000001</v>
      </c>
      <c r="BO23" s="23">
        <f t="shared" si="51"/>
        <v>28.090045632390911</v>
      </c>
      <c r="BP23" s="13"/>
      <c r="BQ23" s="13"/>
      <c r="BR23" s="13"/>
    </row>
    <row r="24" spans="1:70" x14ac:dyDescent="0.25">
      <c r="A24" s="42">
        <v>2075</v>
      </c>
      <c r="B24" s="12">
        <f>SUMIF('EDU projections'!$B$37:$B$63,'1'!$A24,'EDU projections'!$D$37:$D$63)</f>
        <v>0.14000000000000001</v>
      </c>
      <c r="C24" s="13">
        <f>SUMIF('EDU projections'!$B$64:$B$90,'1'!$A24,'EDU projections'!$D$64:$D$90)</f>
        <v>0</v>
      </c>
      <c r="D24" s="13">
        <f>SUMIF('EDU projections'!$B$91:$B$117,'1'!$A24,'EDU projections'!$D$91:$D$117)</f>
        <v>0.01</v>
      </c>
      <c r="E24" s="13">
        <f>SUMIF('EDU projections'!$B$118:$B$144,'1'!$A24,'EDU projections'!$D$118:$D$144)</f>
        <v>0.06</v>
      </c>
      <c r="F24" s="13">
        <f>SUMIF('EDU projections'!$B$145:$B$171,'1'!$A24,'EDU projections'!$D$145:$D$171)</f>
        <v>0.04</v>
      </c>
      <c r="G24" s="13">
        <f>SUMIF('EDU projections'!$B$172:$B$198,'1'!$A24,'EDU projections'!$D$172:$D$198)</f>
        <v>0.36</v>
      </c>
      <c r="H24" s="14">
        <f>SUMIF('EDU projections'!$B$199:$B$225,'1'!$A24,'EDU projections'!$D$199:$D$225)</f>
        <v>0.38</v>
      </c>
      <c r="I24" s="12">
        <f t="shared" si="9"/>
        <v>0.14000000000000001</v>
      </c>
      <c r="J24" s="13">
        <f t="shared" si="10"/>
        <v>0.10999999999999999</v>
      </c>
      <c r="K24" s="13">
        <f t="shared" si="11"/>
        <v>0.74</v>
      </c>
      <c r="L24" s="24">
        <f>SUMIF(UN!$A$10:'UN'!$A$95,A24,UN!$B$10:'UN'!$B$95)</f>
        <v>51408.873</v>
      </c>
      <c r="M24" s="44"/>
      <c r="N24" s="61">
        <f t="shared" si="12"/>
        <v>7.1972422200000006</v>
      </c>
      <c r="O24" s="61">
        <f t="shared" si="3"/>
        <v>5.6549760299999985</v>
      </c>
      <c r="P24" s="62">
        <f t="shared" si="4"/>
        <v>38.042566019999995</v>
      </c>
      <c r="Q24" s="89">
        <f t="shared" si="13"/>
        <v>43.697542049999996</v>
      </c>
      <c r="R24" s="29">
        <f t="shared" si="14"/>
        <v>6.7272727272727284</v>
      </c>
      <c r="S24" s="12"/>
      <c r="T24" s="23"/>
      <c r="U24" s="25"/>
      <c r="V24" s="25"/>
      <c r="W24" s="25"/>
      <c r="X24" s="26"/>
      <c r="Y24" s="12"/>
      <c r="Z24" s="13"/>
      <c r="AA24" s="13"/>
      <c r="AB24" s="14"/>
      <c r="AC24" s="12"/>
      <c r="AD24" s="13"/>
      <c r="AE24" s="13"/>
      <c r="AF24" s="14"/>
      <c r="AG24" s="12"/>
      <c r="AH24" s="13"/>
      <c r="AI24" s="13"/>
      <c r="AJ24" s="14"/>
      <c r="AV24" s="209"/>
      <c r="AW24" s="132">
        <v>2080</v>
      </c>
      <c r="AX24" s="13"/>
      <c r="AY24" s="13"/>
      <c r="AZ24" s="151">
        <f t="shared" si="42"/>
        <v>6.061680149608796E-2</v>
      </c>
      <c r="BA24" s="151">
        <f t="shared" si="43"/>
        <v>-0.1873546771524244</v>
      </c>
      <c r="BB24" s="151">
        <f t="shared" si="44"/>
        <v>-9.2385559483536259E-2</v>
      </c>
      <c r="BC24" s="151">
        <f t="shared" si="45"/>
        <v>0.11686416570529028</v>
      </c>
      <c r="BD24" s="156">
        <v>36.07343977</v>
      </c>
      <c r="BE24" s="156">
        <v>4.8290999599999997</v>
      </c>
      <c r="BF24" s="151">
        <f t="shared" ref="BF24" si="59">(BD24/BE24-$BF$12)/$BF$12</f>
        <v>-5.3769848679184537E-2</v>
      </c>
      <c r="BG24" s="151">
        <f t="shared" ref="BG24" si="60">((BD24+BE24)-$BG$12)/$BG$12</f>
        <v>2.634081927052322E-2</v>
      </c>
      <c r="BH24" s="165">
        <v>248.85870151</v>
      </c>
      <c r="BI24" s="155">
        <f>(BH24-$BH$12)/$BH$12</f>
        <v>-0.10105359348639387</v>
      </c>
      <c r="BJ24" s="198">
        <v>240.46364283</v>
      </c>
      <c r="BK24" s="44">
        <f t="shared" si="48"/>
        <v>-9.2989328784190292E-2</v>
      </c>
      <c r="BL24" s="165">
        <v>473.85949082000002</v>
      </c>
      <c r="BM24" s="155">
        <f t="shared" ref="BM24" si="61">(BL24-$BL$12)/$BL$12</f>
        <v>-0.1000853130997796</v>
      </c>
      <c r="BN24" s="23">
        <f t="shared" si="50"/>
        <v>1317.5372820000002</v>
      </c>
      <c r="BO24" s="23">
        <f t="shared" si="51"/>
        <v>28.189012070081159</v>
      </c>
      <c r="BP24" s="13"/>
      <c r="BQ24" s="13"/>
      <c r="BR24" s="13"/>
    </row>
    <row r="25" spans="1:70" ht="15.75" thickBot="1" x14ac:dyDescent="0.3">
      <c r="A25" s="42">
        <v>2080</v>
      </c>
      <c r="B25" s="12">
        <f>SUMIF('EDU projections'!$B$37:$B$63,'1'!$A25,'EDU projections'!$D$37:$D$63)</f>
        <v>0.13</v>
      </c>
      <c r="C25" s="13">
        <f>SUMIF('EDU projections'!$B$64:$B$90,'1'!$A25,'EDU projections'!$D$64:$D$90)</f>
        <v>0</v>
      </c>
      <c r="D25" s="13">
        <f>SUMIF('EDU projections'!$B$91:$B$117,'1'!$A25,'EDU projections'!$D$91:$D$117)</f>
        <v>0.01</v>
      </c>
      <c r="E25" s="13">
        <f>SUMIF('EDU projections'!$B$118:$B$144,'1'!$A25,'EDU projections'!$D$118:$D$144)</f>
        <v>0.06</v>
      </c>
      <c r="F25" s="13">
        <f>SUMIF('EDU projections'!$B$145:$B$171,'1'!$A25,'EDU projections'!$D$145:$D$171)</f>
        <v>0.04</v>
      </c>
      <c r="G25" s="13">
        <f>SUMIF('EDU projections'!$B$172:$B$198,'1'!$A25,'EDU projections'!$D$172:$D$198)</f>
        <v>0.36</v>
      </c>
      <c r="H25" s="14">
        <f>SUMIF('EDU projections'!$B$199:$B$225,'1'!$A25,'EDU projections'!$D$199:$D$225)</f>
        <v>0.4</v>
      </c>
      <c r="I25" s="12">
        <f t="shared" si="9"/>
        <v>0.13</v>
      </c>
      <c r="J25" s="13">
        <f t="shared" si="10"/>
        <v>0.10999999999999999</v>
      </c>
      <c r="K25" s="13">
        <f t="shared" si="11"/>
        <v>0.76</v>
      </c>
      <c r="L25" s="24">
        <f>SUMIF(UN!$A$10:'UN'!$A$95,A25,UN!$B$10:'UN'!$B$95)</f>
        <v>50244.654999999999</v>
      </c>
      <c r="M25" s="74">
        <f>(Q25-Q21)/Q21</f>
        <v>-2.6020678772096701E-2</v>
      </c>
      <c r="N25" s="61">
        <f t="shared" si="12"/>
        <v>6.5318051500000003</v>
      </c>
      <c r="O25" s="61">
        <f t="shared" si="3"/>
        <v>5.5269120499999991</v>
      </c>
      <c r="P25" s="62">
        <f t="shared" si="4"/>
        <v>38.185937799999998</v>
      </c>
      <c r="Q25" s="96">
        <f t="shared" si="13"/>
        <v>43.712849849999998</v>
      </c>
      <c r="R25" s="175">
        <f t="shared" si="14"/>
        <v>6.9090909090909101</v>
      </c>
      <c r="S25" s="12"/>
      <c r="T25" s="23"/>
      <c r="U25" s="63">
        <f>RCP!O2</f>
        <v>1033.9607608000001</v>
      </c>
      <c r="V25" s="63">
        <f>RCP!O3</f>
        <v>1317.5372820000002</v>
      </c>
      <c r="W25" s="63">
        <f>RCP!O4</f>
        <v>1517.8381256</v>
      </c>
      <c r="X25" s="64">
        <f>RCP!O5</f>
        <v>2183.46326</v>
      </c>
      <c r="Y25" s="142">
        <f>$Z$5+$AB$3*(U25-U$9)^$AB$4*(1-$AB$5*$Z$5)</f>
        <v>27.530347347960102</v>
      </c>
      <c r="Z25" s="143">
        <f>$Z$5+$AB$3*(V25-V$9)^$AB$4*(1-$AB$5*$Z$5)</f>
        <v>28.189012070081159</v>
      </c>
      <c r="AA25" s="143">
        <f>$Z$5+$AB$3*(W25-W$9)^$AB$4*(1-$AB$5*$Z$5)</f>
        <v>28.524266136338579</v>
      </c>
      <c r="AB25" s="144">
        <f>$Z$5+$AB$3*(X25-X$9)^$AB$4*(1-$AB$5*$Z$5)</f>
        <v>29.362083040560467</v>
      </c>
      <c r="AC25" s="142">
        <f t="shared" ref="AC25:AF25" si="62">MAX(0.001, $AD$3+$AD$4*Y25+$AD$5*Y25^2)</f>
        <v>0.70653079994657286</v>
      </c>
      <c r="AD25" s="143">
        <f t="shared" si="62"/>
        <v>0.64148678672857429</v>
      </c>
      <c r="AE25" s="143">
        <f t="shared" si="62"/>
        <v>0.60594753209057739</v>
      </c>
      <c r="AF25" s="144">
        <f t="shared" si="62"/>
        <v>0.50995855698301362</v>
      </c>
      <c r="AG25" s="142">
        <f t="shared" si="26"/>
        <v>0.75921173010834031</v>
      </c>
      <c r="AH25" s="143">
        <f t="shared" si="19"/>
        <v>0.72749404218597591</v>
      </c>
      <c r="AI25" s="143">
        <f t="shared" si="20"/>
        <v>0.71058364608874092</v>
      </c>
      <c r="AJ25" s="144">
        <f t="shared" si="21"/>
        <v>0.66606322613906932</v>
      </c>
      <c r="AV25" s="210"/>
      <c r="AW25" s="133">
        <v>2100</v>
      </c>
      <c r="AX25" s="16"/>
      <c r="AY25" s="16"/>
      <c r="AZ25" s="152">
        <f t="shared" si="42"/>
        <v>6.1800885393221927E-2</v>
      </c>
      <c r="BA25" s="152">
        <f t="shared" si="43"/>
        <v>-0.19149247988092799</v>
      </c>
      <c r="BB25" s="152">
        <f t="shared" si="44"/>
        <v>-9.433853864883536E-2</v>
      </c>
      <c r="BC25" s="152">
        <f t="shared" si="45"/>
        <v>0.12016454864610839</v>
      </c>
      <c r="BD25" s="157">
        <v>34.739350549999997</v>
      </c>
      <c r="BE25" s="157">
        <v>2.2418908800000001</v>
      </c>
      <c r="BF25" s="152">
        <f t="shared" ref="BF25" si="63">(BD25/BE25-$BF$13)/$BF$13</f>
        <v>-5.5148889787569405E-2</v>
      </c>
      <c r="BG25" s="152">
        <f t="shared" ref="BG25" si="64">((BD25+BE25)-$BG$13)/$BG$13</f>
        <v>2.8671818206071807E-2</v>
      </c>
      <c r="BH25" s="166">
        <v>0</v>
      </c>
      <c r="BI25" s="17"/>
      <c r="BJ25" s="199">
        <v>379.86365255999999</v>
      </c>
      <c r="BK25" s="200">
        <f t="shared" si="48"/>
        <v>-9.4620004907656804E-2</v>
      </c>
      <c r="BL25" s="166">
        <v>764.13673498000003</v>
      </c>
      <c r="BM25" s="17">
        <f t="shared" ref="BM25" si="65">(BL25-$BL$13)/$BL$13</f>
        <v>-9.8327999557265108E-2</v>
      </c>
      <c r="BN25" s="23">
        <f t="shared" si="50"/>
        <v>1334.7340224</v>
      </c>
      <c r="BO25" s="23">
        <f t="shared" si="51"/>
        <v>28.220482583485449</v>
      </c>
      <c r="BP25" s="13"/>
      <c r="BQ25" s="13"/>
      <c r="BR25" s="13"/>
    </row>
    <row r="26" spans="1:70" x14ac:dyDescent="0.25">
      <c r="A26" s="42">
        <v>2085</v>
      </c>
      <c r="B26" s="12">
        <f>SUMIF('EDU projections'!$B$37:$B$63,'1'!$A26,'EDU projections'!$D$37:$D$63)</f>
        <v>0.13</v>
      </c>
      <c r="C26" s="13">
        <f>SUMIF('EDU projections'!$B$64:$B$90,'1'!$A26,'EDU projections'!$D$64:$D$90)</f>
        <v>0</v>
      </c>
      <c r="D26" s="13">
        <f>SUMIF('EDU projections'!$B$91:$B$117,'1'!$A26,'EDU projections'!$D$91:$D$117)</f>
        <v>0.01</v>
      </c>
      <c r="E26" s="13">
        <f>SUMIF('EDU projections'!$B$118:$B$144,'1'!$A26,'EDU projections'!$D$118:$D$144)</f>
        <v>0.05</v>
      </c>
      <c r="F26" s="13">
        <f>SUMIF('EDU projections'!$B$145:$B$171,'1'!$A26,'EDU projections'!$D$145:$D$171)</f>
        <v>0.03</v>
      </c>
      <c r="G26" s="13">
        <f>SUMIF('EDU projections'!$B$172:$B$198,'1'!$A26,'EDU projections'!$D$172:$D$198)</f>
        <v>0.36</v>
      </c>
      <c r="H26" s="14">
        <f>SUMIF('EDU projections'!$B$199:$B$225,'1'!$A26,'EDU projections'!$D$199:$D$225)</f>
        <v>0.42</v>
      </c>
      <c r="I26" s="12">
        <f t="shared" si="9"/>
        <v>0.13</v>
      </c>
      <c r="J26" s="13">
        <f t="shared" si="10"/>
        <v>0.09</v>
      </c>
      <c r="K26" s="13">
        <f t="shared" si="11"/>
        <v>0.78</v>
      </c>
      <c r="L26" s="24">
        <f>SUMIF(UN!$A$10:'UN'!$A$95,A26,UN!$B$10:'UN'!$B$95)</f>
        <v>49014.957000000002</v>
      </c>
      <c r="M26" s="44"/>
      <c r="N26" s="61">
        <f t="shared" si="12"/>
        <v>6.3719444100000002</v>
      </c>
      <c r="O26" s="61">
        <f t="shared" si="3"/>
        <v>4.4113461300000001</v>
      </c>
      <c r="P26" s="62">
        <f t="shared" si="4"/>
        <v>38.23166646</v>
      </c>
      <c r="Q26" s="89">
        <f t="shared" si="13"/>
        <v>42.643012589999998</v>
      </c>
      <c r="R26" s="29">
        <f t="shared" si="14"/>
        <v>8.6666666666666661</v>
      </c>
      <c r="S26" s="12"/>
      <c r="T26" s="23"/>
      <c r="U26" s="25"/>
      <c r="V26" s="25"/>
      <c r="W26" s="25"/>
      <c r="X26" s="26"/>
      <c r="Y26" s="12"/>
      <c r="Z26" s="13"/>
      <c r="AA26" s="13"/>
      <c r="AB26" s="14"/>
      <c r="AC26" s="12"/>
      <c r="AD26" s="13"/>
      <c r="AE26" s="13"/>
      <c r="AF26" s="14"/>
      <c r="AG26" s="12"/>
      <c r="AH26" s="13"/>
      <c r="AI26" s="13"/>
      <c r="AJ26" s="14"/>
      <c r="AV26" s="208" t="s">
        <v>126</v>
      </c>
      <c r="AW26" s="131">
        <v>2000</v>
      </c>
      <c r="AX26" s="10"/>
      <c r="AY26" s="10"/>
      <c r="AZ26" s="150">
        <f>(SUMIF($A$3:$A$29,AW26,$AA$3:$AA$29)-$AZ$8)/$AZ$8</f>
        <v>0</v>
      </c>
      <c r="BA26" s="150">
        <f>(SUMIF($A$3:$A$29,AW26,$AE$3:$AE$29)-$BA8)/$BA8</f>
        <v>0</v>
      </c>
      <c r="BB26" s="150">
        <f>(SUMIF($A$3:$A$29,AW26,$AI$3:$AI$29)-$BB8)/$BB8</f>
        <v>0</v>
      </c>
      <c r="BC26" s="150">
        <f>(SUMIF($A$3:$A$29,AW26,$AI$3:$AI$29)/SUMIF($A$3:$A$29,AW26,$AE$3:$AE$29)-$BC8)/$BC8</f>
        <v>0</v>
      </c>
      <c r="BD26" s="158">
        <v>7.95740947</v>
      </c>
      <c r="BE26" s="158">
        <v>18.772590529999999</v>
      </c>
      <c r="BF26" s="150">
        <f t="shared" ref="BF26" si="66">(BD26/BE26-$BF$8)/$BF$8</f>
        <v>0</v>
      </c>
      <c r="BG26" s="150">
        <f t="shared" ref="BG26" si="67">((BD26+BE26)-$BG$8)/$BG$8</f>
        <v>0</v>
      </c>
      <c r="BH26" s="164">
        <v>9.1511502300000007</v>
      </c>
      <c r="BI26" s="154">
        <f>(BH26-$BH$8)/$BH$8</f>
        <v>-3.7298203785381396E-3</v>
      </c>
      <c r="BJ26" s="197">
        <v>16.598279389999998</v>
      </c>
      <c r="BK26" s="194">
        <f>(BJ26-$BJ8)/$BJ8</f>
        <v>0</v>
      </c>
      <c r="BL26" s="164">
        <v>21.760224659999999</v>
      </c>
      <c r="BM26" s="154">
        <f t="shared" ref="BM26" si="68">(BL26-$BL$8)/$BL$8</f>
        <v>0</v>
      </c>
      <c r="BN26" s="27">
        <f>SUMIF($A$3:$A$29,AW26,$W$3:$W$29)</f>
        <v>881.61855719999994</v>
      </c>
      <c r="BO26" s="27">
        <f>SUMIF($A$3:$A$29,AW26,$AA$3:$AA$29)</f>
        <v>26.577942222222219</v>
      </c>
      <c r="BP26" s="13"/>
      <c r="BQ26" s="13"/>
      <c r="BR26" s="13"/>
    </row>
    <row r="27" spans="1:70" x14ac:dyDescent="0.25">
      <c r="A27" s="42">
        <v>2090</v>
      </c>
      <c r="B27" s="12">
        <f>SUMIF('EDU projections'!$B$37:$B$63,'1'!$A27,'EDU projections'!$D$37:$D$63)</f>
        <v>0.12</v>
      </c>
      <c r="C27" s="13">
        <f>SUMIF('EDU projections'!$B$64:$B$90,'1'!$A27,'EDU projections'!$D$64:$D$90)</f>
        <v>0</v>
      </c>
      <c r="D27" s="13">
        <f>SUMIF('EDU projections'!$B$91:$B$117,'1'!$A27,'EDU projections'!$D$91:$D$117)</f>
        <v>0.01</v>
      </c>
      <c r="E27" s="13">
        <f>SUMIF('EDU projections'!$B$118:$B$144,'1'!$A27,'EDU projections'!$D$118:$D$144)</f>
        <v>0.04</v>
      </c>
      <c r="F27" s="13">
        <f>SUMIF('EDU projections'!$B$145:$B$171,'1'!$A27,'EDU projections'!$D$145:$D$171)</f>
        <v>0.03</v>
      </c>
      <c r="G27" s="13">
        <f>SUMIF('EDU projections'!$B$172:$B$198,'1'!$A27,'EDU projections'!$D$172:$D$198)</f>
        <v>0.35</v>
      </c>
      <c r="H27" s="14">
        <f>SUMIF('EDU projections'!$B$199:$B$225,'1'!$A27,'EDU projections'!$D$199:$D$225)</f>
        <v>0.44</v>
      </c>
      <c r="I27" s="12">
        <f t="shared" si="9"/>
        <v>0.12</v>
      </c>
      <c r="J27" s="13">
        <f t="shared" si="10"/>
        <v>0.08</v>
      </c>
      <c r="K27" s="13">
        <f t="shared" si="11"/>
        <v>0.79</v>
      </c>
      <c r="L27" s="24">
        <f>SUMIF(UN!$A$10:'UN'!$A$95,A27,UN!$B$10:'UN'!$B$95)</f>
        <v>47765.46</v>
      </c>
      <c r="M27" s="44"/>
      <c r="N27" s="61">
        <f t="shared" si="12"/>
        <v>5.7318552</v>
      </c>
      <c r="O27" s="61">
        <f t="shared" si="3"/>
        <v>3.8212368000000003</v>
      </c>
      <c r="P27" s="62">
        <f t="shared" si="4"/>
        <v>37.734713400000004</v>
      </c>
      <c r="Q27" s="89">
        <f t="shared" si="13"/>
        <v>41.555950200000005</v>
      </c>
      <c r="R27" s="29">
        <f t="shared" si="14"/>
        <v>9.875</v>
      </c>
      <c r="S27" s="12"/>
      <c r="T27" s="23"/>
      <c r="U27" s="25">
        <f>RCP!P2</f>
        <v>1020.555386</v>
      </c>
      <c r="V27" s="25">
        <f>RCP!P3</f>
        <v>1322.5722184000001</v>
      </c>
      <c r="W27" s="25">
        <f>RCP!P4</f>
        <v>1620.290878</v>
      </c>
      <c r="X27" s="26">
        <f>RCP!Q4</f>
        <v>1695.7205416000002</v>
      </c>
      <c r="Y27" s="12">
        <f>$Z$5+$AB$3*(U27-U$9)^$AB$4*(1-$AB$5*$Z$5)</f>
        <v>27.487479070463227</v>
      </c>
      <c r="Z27" s="13">
        <f>$Z$5+$AB$3*(V27-V$9)^$AB$4*(1-$AB$5*$Z$5)</f>
        <v>28.198289425429618</v>
      </c>
      <c r="AA27" s="13">
        <f>$Z$5+$AB$3*(W27-W$9)^$AB$4*(1-$AB$5*$Z$5)</f>
        <v>28.675130976503794</v>
      </c>
      <c r="AB27" s="14">
        <f>$Z$5+$AB$3*(X27-X$9)^$AB$4*(1-$AB$5*$Z$5)</f>
        <v>28.779606084756576</v>
      </c>
      <c r="AC27" s="12">
        <f t="shared" ref="AC27:AF27" si="69">MAX(0.001, $AD$3+$AD$4*Y27+$AD$5*Y27^2)</f>
        <v>0.71054456246385023</v>
      </c>
      <c r="AD27" s="13">
        <f t="shared" si="69"/>
        <v>0.64052539943416331</v>
      </c>
      <c r="AE27" s="13">
        <f t="shared" si="69"/>
        <v>0.58941944416974135</v>
      </c>
      <c r="AF27" s="14">
        <f t="shared" si="69"/>
        <v>0.57777887143059381</v>
      </c>
      <c r="AG27" s="12">
        <f t="shared" si="26"/>
        <v>0.76120686264400406</v>
      </c>
      <c r="AH27" s="13">
        <f t="shared" si="19"/>
        <v>0.72703304303768879</v>
      </c>
      <c r="AI27" s="13">
        <f t="shared" si="20"/>
        <v>0.70280526412511413</v>
      </c>
      <c r="AJ27" s="14">
        <f t="shared" si="21"/>
        <v>0.69735731607488316</v>
      </c>
      <c r="AV27" s="209"/>
      <c r="AW27" s="132">
        <v>2020</v>
      </c>
      <c r="AX27" s="13"/>
      <c r="AY27" s="13"/>
      <c r="AZ27" s="151">
        <f t="shared" ref="AZ27:AZ31" si="70">(SUMIF($A$3:$A$29,AW27,$AA$3:$AA$29)-$AZ$8)/$AZ$8</f>
        <v>3.0909995425370273E-2</v>
      </c>
      <c r="BA27" s="151">
        <f t="shared" ref="BA27:BA31" si="71">(SUMIF($A$3:$A$29,AW27,$AE$3:$AE$29)-$BA9)/$BA9</f>
        <v>-8.9538372571994998E-2</v>
      </c>
      <c r="BB27" s="151">
        <f t="shared" ref="BB27:BB31" si="72">(SUMIF($A$3:$A$29,AW27,$AI$3:$AI$29)-$BB9)/$BB9</f>
        <v>-4.5248446482712174E-2</v>
      </c>
      <c r="BC27" s="151">
        <f t="shared" ref="BC27:BC31" si="73">(SUMIF($A$3:$A$29,AW27,$AI$3:$AI$29)/SUMIF($A$3:$A$29,AW27,$AE$3:$AE$29)-$BC9)/$BC9</f>
        <v>4.8645571383825456E-2</v>
      </c>
      <c r="BD27" s="156">
        <v>17.02853399</v>
      </c>
      <c r="BE27" s="156">
        <v>19.80186994</v>
      </c>
      <c r="BF27" s="151">
        <f t="shared" ref="BF27" si="74">(BD27/BE27-$BF$9)/$BF$9</f>
        <v>-2.3427955776926055E-2</v>
      </c>
      <c r="BG27" s="151">
        <f t="shared" ref="BG27" si="75">((BD27+BE27)-$BG$9)/$BG$9</f>
        <v>6.4784709987900212E-3</v>
      </c>
      <c r="BH27" s="165">
        <v>2.83092509</v>
      </c>
      <c r="BI27" s="155">
        <f>(BH27-$BH$9)/$BH$9</f>
        <v>-0.90668990788225157</v>
      </c>
      <c r="BJ27" s="198">
        <v>38.871592759999999</v>
      </c>
      <c r="BK27" s="44">
        <f t="shared" ref="BK27:BK31" si="76">(BJ27-$BJ9)/$BJ9</f>
        <v>-4.7401652641055503E-2</v>
      </c>
      <c r="BL27" s="165">
        <v>61.002283849999998</v>
      </c>
      <c r="BM27" s="155">
        <f t="shared" ref="BM27" si="77">(BL27-$BL$9)/$BL$9</f>
        <v>-6.3047341922319519E-2</v>
      </c>
      <c r="BN27" s="23">
        <f t="shared" ref="BN27:BN31" si="78">SUMIF($A$3:$A$29,AW27,$W$3:$W$29)</f>
        <v>994.96747360000006</v>
      </c>
      <c r="BO27" s="23">
        <f t="shared" ref="BO27:BO31" si="79">SUMIF($A$3:$A$29,AW27,$AA$3:$AA$29)</f>
        <v>27.399466294726864</v>
      </c>
      <c r="BP27" s="13"/>
      <c r="BQ27" s="13"/>
      <c r="BR27" s="13"/>
    </row>
    <row r="28" spans="1:70" x14ac:dyDescent="0.25">
      <c r="A28" s="42">
        <v>2095</v>
      </c>
      <c r="B28" s="12">
        <f>SUMIF('EDU projections'!$B$37:$B$63,'1'!$A28,'EDU projections'!$D$37:$D$63)</f>
        <v>0.12</v>
      </c>
      <c r="C28" s="13">
        <f>SUMIF('EDU projections'!$B$64:$B$90,'1'!$A28,'EDU projections'!$D$64:$D$90)</f>
        <v>0</v>
      </c>
      <c r="D28" s="13">
        <f>SUMIF('EDU projections'!$B$91:$B$117,'1'!$A28,'EDU projections'!$D$91:$D$117)</f>
        <v>0</v>
      </c>
      <c r="E28" s="13">
        <f>SUMIF('EDU projections'!$B$118:$B$144,'1'!$A28,'EDU projections'!$D$118:$D$144)</f>
        <v>0.04</v>
      </c>
      <c r="F28" s="13">
        <f>SUMIF('EDU projections'!$B$145:$B$171,'1'!$A28,'EDU projections'!$D$145:$D$171)</f>
        <v>0.02</v>
      </c>
      <c r="G28" s="13">
        <f>SUMIF('EDU projections'!$B$172:$B$198,'1'!$A28,'EDU projections'!$D$172:$D$198)</f>
        <v>0.35</v>
      </c>
      <c r="H28" s="14">
        <f>SUMIF('EDU projections'!$B$199:$B$225,'1'!$A28,'EDU projections'!$D$199:$D$225)</f>
        <v>0.46</v>
      </c>
      <c r="I28" s="12">
        <f t="shared" si="9"/>
        <v>0.12</v>
      </c>
      <c r="J28" s="13">
        <f t="shared" si="10"/>
        <v>0.06</v>
      </c>
      <c r="K28" s="13">
        <f t="shared" si="11"/>
        <v>0.81</v>
      </c>
      <c r="L28" s="24">
        <f>SUMIF(UN!$A$10:'UN'!$A$95,A28,UN!$B$10:'UN'!$B$95)</f>
        <v>46521.811000000002</v>
      </c>
      <c r="M28" s="44"/>
      <c r="N28" s="61">
        <f t="shared" si="12"/>
        <v>5.5826173200000007</v>
      </c>
      <c r="O28" s="61">
        <f t="shared" si="3"/>
        <v>2.7913086600000003</v>
      </c>
      <c r="P28" s="62">
        <f t="shared" si="4"/>
        <v>37.682666910000009</v>
      </c>
      <c r="Q28" s="89">
        <f t="shared" si="13"/>
        <v>40.473975570000007</v>
      </c>
      <c r="R28" s="29">
        <f t="shared" si="14"/>
        <v>13.500000000000002</v>
      </c>
      <c r="S28" s="12"/>
      <c r="T28" s="23"/>
      <c r="U28" s="25"/>
      <c r="V28" s="25"/>
      <c r="W28" s="25"/>
      <c r="X28" s="26"/>
      <c r="Y28" s="12"/>
      <c r="Z28" s="13"/>
      <c r="AA28" s="13"/>
      <c r="AB28" s="14"/>
      <c r="AC28" s="12"/>
      <c r="AD28" s="13"/>
      <c r="AE28" s="13"/>
      <c r="AF28" s="14"/>
      <c r="AG28" s="12"/>
      <c r="AH28" s="13"/>
      <c r="AI28" s="13"/>
      <c r="AJ28" s="14"/>
      <c r="AV28" s="209"/>
      <c r="AW28" s="132">
        <v>2040</v>
      </c>
      <c r="AX28" s="13"/>
      <c r="AY28" s="13"/>
      <c r="AZ28" s="151">
        <f t="shared" si="70"/>
        <v>4.4155820089989868E-2</v>
      </c>
      <c r="BA28" s="151">
        <f t="shared" si="71"/>
        <v>-0.13172887362716215</v>
      </c>
      <c r="BB28" s="151">
        <f t="shared" si="72"/>
        <v>-6.5824232586460835E-2</v>
      </c>
      <c r="BC28" s="151">
        <f t="shared" si="73"/>
        <v>7.590329683772272E-2</v>
      </c>
      <c r="BD28" s="156">
        <v>27.143310639999999</v>
      </c>
      <c r="BE28" s="156">
        <v>15.39040436</v>
      </c>
      <c r="BF28" s="151">
        <f t="shared" ref="BF28" si="80">(BD28/BE28-$BF$10)/$BF$10</f>
        <v>-3.5889643665848937E-2</v>
      </c>
      <c r="BG28" s="151">
        <f t="shared" ref="BG28" si="81">((BD28+BE28)-$BG$10)/$BG$10</f>
        <v>1.425845162086533E-2</v>
      </c>
      <c r="BH28" s="165">
        <v>70.139188160000003</v>
      </c>
      <c r="BI28" s="155">
        <f>(BH28-$BH$10)/$BH$10</f>
        <v>-8.6131290385467671E-2</v>
      </c>
      <c r="BJ28" s="198">
        <v>80.075863220000002</v>
      </c>
      <c r="BK28" s="44">
        <f t="shared" si="76"/>
        <v>-6.7457583208176755E-2</v>
      </c>
      <c r="BL28" s="165">
        <v>141.61629611000001</v>
      </c>
      <c r="BM28" s="155">
        <f t="shared" ref="BM28" si="82">(BL28-$BL$10)/$BL$10</f>
        <v>-8.2848937998479991E-2</v>
      </c>
      <c r="BN28" s="23">
        <f t="shared" si="78"/>
        <v>1112.9290860000001</v>
      </c>
      <c r="BO28" s="23">
        <f t="shared" si="79"/>
        <v>27.751513057348809</v>
      </c>
      <c r="BP28" s="13"/>
      <c r="BQ28" s="13"/>
      <c r="BR28" s="13"/>
    </row>
    <row r="29" spans="1:70" ht="15.75" thickBot="1" x14ac:dyDescent="0.3">
      <c r="A29" s="43">
        <v>2100</v>
      </c>
      <c r="B29" s="15">
        <f>SUMIF('EDU projections'!$B$37:$B$63,'1'!$A29,'EDU projections'!$D$37:$D$63)</f>
        <v>0.12</v>
      </c>
      <c r="C29" s="16">
        <f>SUMIF('EDU projections'!$B$64:$B$90,'1'!$A29,'EDU projections'!$D$64:$D$90)</f>
        <v>0</v>
      </c>
      <c r="D29" s="16">
        <f>SUMIF('EDU projections'!$B$91:$B$117,'1'!$A29,'EDU projections'!$D$91:$D$117)</f>
        <v>0</v>
      </c>
      <c r="E29" s="16">
        <f>SUMIF('EDU projections'!$B$118:$B$144,'1'!$A29,'EDU projections'!$D$118:$D$144)</f>
        <v>0.03</v>
      </c>
      <c r="F29" s="16">
        <f>SUMIF('EDU projections'!$B$145:$B$171,'1'!$A29,'EDU projections'!$D$145:$D$171)</f>
        <v>0.02</v>
      </c>
      <c r="G29" s="16">
        <f>SUMIF('EDU projections'!$B$172:$B$198,'1'!$A29,'EDU projections'!$D$172:$D$198)</f>
        <v>0.34</v>
      </c>
      <c r="H29" s="17">
        <f>SUMIF('EDU projections'!$B$199:$B$225,'1'!$A29,'EDU projections'!$D$199:$D$225)</f>
        <v>0.48</v>
      </c>
      <c r="I29" s="15">
        <f t="shared" si="9"/>
        <v>0.12</v>
      </c>
      <c r="J29" s="16">
        <f t="shared" si="10"/>
        <v>0.05</v>
      </c>
      <c r="K29" s="16">
        <f t="shared" si="11"/>
        <v>0.82000000000000006</v>
      </c>
      <c r="L29" s="28">
        <f>SUMIF(UN!$A$10:'UN'!$A$95,A29,UN!$B$10:'UN'!$B$95)</f>
        <v>45320.995999999999</v>
      </c>
      <c r="M29" s="116">
        <f>(Q29-Q25)/Q25</f>
        <v>-9.7993687089701367E-2</v>
      </c>
      <c r="N29" s="86">
        <f t="shared" si="12"/>
        <v>5.4385195199999998</v>
      </c>
      <c r="O29" s="86">
        <f t="shared" si="3"/>
        <v>2.2660498000000002</v>
      </c>
      <c r="P29" s="87">
        <f t="shared" si="4"/>
        <v>37.163216720000001</v>
      </c>
      <c r="Q29" s="97">
        <f t="shared" si="13"/>
        <v>39.429266519999999</v>
      </c>
      <c r="R29" s="176">
        <f t="shared" si="14"/>
        <v>16.399999999999999</v>
      </c>
      <c r="S29" s="15"/>
      <c r="T29" s="53"/>
      <c r="U29" s="65">
        <f>RCP!Q2</f>
        <v>1007.40863</v>
      </c>
      <c r="V29" s="65">
        <f>RCP!Q3</f>
        <v>1334.7340224</v>
      </c>
      <c r="W29" s="65">
        <f>RCP!P5</f>
        <v>2475.6255480000004</v>
      </c>
      <c r="X29" s="66">
        <f>RCP!Q5</f>
        <v>2784.5165440000001</v>
      </c>
      <c r="Y29" s="145">
        <f>$Z$5+$AB$3*(U29-U$9)^$AB$4*(1-$AB$5*$Z$5)</f>
        <v>27.443377893096606</v>
      </c>
      <c r="Z29" s="146">
        <f>$Z$5+$AB$3*(V29-V$9)^$AB$4*(1-$AB$5*$Z$5)</f>
        <v>28.220482583485449</v>
      </c>
      <c r="AA29" s="146">
        <f>$Z$5+$AB$3*(W29-W$9)^$AB$4*(1-$AB$5*$Z$5)</f>
        <v>29.658694074644895</v>
      </c>
      <c r="AB29" s="147">
        <f>$Z$5+$AB$3*(X29-X$9)^$AB$4*(1-$AB$5*$Z$5)</f>
        <v>29.94398290566069</v>
      </c>
      <c r="AC29" s="145">
        <f t="shared" ref="AC29:AF29" si="83">MAX(0.001, $AD$3+$AD$4*Y29+$AD$5*Y29^2)</f>
        <v>0.71464576273563818</v>
      </c>
      <c r="AD29" s="146">
        <f t="shared" si="83"/>
        <v>0.63822048382643803</v>
      </c>
      <c r="AE29" s="146">
        <f t="shared" si="83"/>
        <v>0.47351939523298103</v>
      </c>
      <c r="AF29" s="147">
        <f t="shared" si="83"/>
        <v>0.43725931548564478</v>
      </c>
      <c r="AG29" s="145">
        <f t="shared" si="26"/>
        <v>0.76325055402613007</v>
      </c>
      <c r="AH29" s="146">
        <f t="shared" si="19"/>
        <v>0.72592864101578303</v>
      </c>
      <c r="AI29" s="146">
        <f t="shared" si="20"/>
        <v>0.64952781728082654</v>
      </c>
      <c r="AJ29" s="147">
        <f t="shared" si="21"/>
        <v>0.63324177426750605</v>
      </c>
      <c r="AK29" s="68"/>
      <c r="AL29" s="67"/>
      <c r="AM29" s="67"/>
      <c r="AN29" s="67"/>
      <c r="AV29" s="209"/>
      <c r="AW29" s="132">
        <v>2060</v>
      </c>
      <c r="AX29" s="13"/>
      <c r="AY29" s="13"/>
      <c r="AZ29" s="151">
        <f t="shared" si="70"/>
        <v>5.8394395398275345E-2</v>
      </c>
      <c r="BA29" s="151">
        <f t="shared" si="71"/>
        <v>-0.17963789350796158</v>
      </c>
      <c r="BB29" s="151">
        <f t="shared" si="72"/>
        <v>-8.8735359703003613E-2</v>
      </c>
      <c r="BC29" s="151">
        <f t="shared" si="73"/>
        <v>0.11080781655513987</v>
      </c>
      <c r="BD29" s="156">
        <v>33.934162100000002</v>
      </c>
      <c r="BE29" s="156">
        <v>9.4108924700000003</v>
      </c>
      <c r="BF29" s="151">
        <f t="shared" ref="BF29" si="84">(BD29/BE29-$BF$11)/$BF$11</f>
        <v>-5.1142466056612455E-2</v>
      </c>
      <c r="BG29" s="151">
        <f t="shared" ref="BG29" si="85">((BD29+BE29)-$BG$11)/$BG$11</f>
        <v>2.150163809146843E-2</v>
      </c>
      <c r="BH29" s="165">
        <v>140.20584217999999</v>
      </c>
      <c r="BI29" s="155">
        <f>(BH29-$BH$11)/$BH$11</f>
        <v>-0.10484397626954915</v>
      </c>
      <c r="BJ29" s="198">
        <v>143.97268296999999</v>
      </c>
      <c r="BK29" s="44">
        <f t="shared" si="76"/>
        <v>-8.9838153202804111E-2</v>
      </c>
      <c r="BL29" s="165">
        <v>272.61943423999998</v>
      </c>
      <c r="BM29" s="155">
        <f t="shared" ref="BM29" si="86">(BL29-$BL$11)/$BL$11</f>
        <v>-0.10243318381833785</v>
      </c>
      <c r="BN29" s="23">
        <f t="shared" si="78"/>
        <v>1286.1588864</v>
      </c>
      <c r="BO29" s="23">
        <f t="shared" si="79"/>
        <v>28.129945089219181</v>
      </c>
      <c r="BP29" s="13"/>
      <c r="BQ29" s="13"/>
      <c r="BR29" s="13"/>
    </row>
    <row r="30" spans="1:70" x14ac:dyDescent="0.25">
      <c r="Q30" s="122">
        <f>(Q29-Q25)/Q25</f>
        <v>-9.7993687089701367E-2</v>
      </c>
      <c r="Y30">
        <v>5</v>
      </c>
      <c r="Z30">
        <v>25</v>
      </c>
      <c r="AV30" s="209"/>
      <c r="AW30" s="132">
        <v>2080</v>
      </c>
      <c r="AX30" s="13"/>
      <c r="AY30" s="13"/>
      <c r="AZ30" s="151">
        <f t="shared" si="70"/>
        <v>7.3230797848939877E-2</v>
      </c>
      <c r="BA30" s="151">
        <f t="shared" si="71"/>
        <v>-0.23237635126412706</v>
      </c>
      <c r="BB30" s="151">
        <f t="shared" si="72"/>
        <v>-0.11348280400059878</v>
      </c>
      <c r="BC30" s="151">
        <f t="shared" si="73"/>
        <v>0.15488520638899395</v>
      </c>
      <c r="BD30" s="156">
        <v>36.031305439999997</v>
      </c>
      <c r="BE30" s="156">
        <v>4.90475175</v>
      </c>
      <c r="BF30" s="151">
        <f t="shared" ref="BF30" si="87">(BD30/BE30-$BF$12)/$BF$12</f>
        <v>-6.945284029424105E-2</v>
      </c>
      <c r="BG30" s="151">
        <f t="shared" ref="BG30" si="88">((BD30+BE30)-$BG$12)/$BG$12</f>
        <v>2.7181851088677895E-2</v>
      </c>
      <c r="BH30" s="165">
        <v>241.97508518000001</v>
      </c>
      <c r="BI30" s="155">
        <f>(BH30-$BH$12)/$BH$12</f>
        <v>-0.12591911808378561</v>
      </c>
      <c r="BJ30" s="198">
        <v>234.83226697000001</v>
      </c>
      <c r="BK30" s="44">
        <f t="shared" si="76"/>
        <v>-0.11423045255048909</v>
      </c>
      <c r="BL30" s="165">
        <v>461.63209513999999</v>
      </c>
      <c r="BM30" s="155">
        <f t="shared" ref="BM30" si="89">(BL30-$BL$12)/$BL$12</f>
        <v>-0.12330656996630537</v>
      </c>
      <c r="BN30" s="23">
        <f t="shared" si="78"/>
        <v>1517.8381256</v>
      </c>
      <c r="BO30" s="23">
        <f t="shared" si="79"/>
        <v>28.524266136338579</v>
      </c>
      <c r="BP30" s="13"/>
      <c r="BQ30" s="13"/>
      <c r="BR30" s="13"/>
    </row>
    <row r="31" spans="1:70" ht="15.75" thickBot="1" x14ac:dyDescent="0.3">
      <c r="Z31">
        <v>45</v>
      </c>
      <c r="AV31" s="210"/>
      <c r="AW31" s="133">
        <v>2100</v>
      </c>
      <c r="AX31" s="16"/>
      <c r="AY31" s="16"/>
      <c r="AZ31" s="152">
        <f t="shared" si="70"/>
        <v>0.11591385919436654</v>
      </c>
      <c r="BA31" s="152">
        <f t="shared" si="71"/>
        <v>-0.40013835082075899</v>
      </c>
      <c r="BB31" s="152">
        <f t="shared" si="72"/>
        <v>-0.18965545791987021</v>
      </c>
      <c r="BC31" s="152">
        <f t="shared" si="73"/>
        <v>0.35088573038279985</v>
      </c>
      <c r="BD31" s="157">
        <v>34.70111996</v>
      </c>
      <c r="BE31" s="157">
        <v>2.45928404</v>
      </c>
      <c r="BF31" s="152">
        <f t="shared" ref="BF31" si="90">(BD31/BE31-$BF$13)/$BF$13</f>
        <v>-0.13961871870585268</v>
      </c>
      <c r="BG31" s="152">
        <f t="shared" ref="BG31" si="91">((BD31+BE31)-$BG$13)/$BG$13</f>
        <v>3.3655412036614971E-2</v>
      </c>
      <c r="BH31" s="166">
        <v>0</v>
      </c>
      <c r="BI31" s="17"/>
      <c r="BJ31" s="199">
        <v>339.66786947000003</v>
      </c>
      <c r="BK31" s="200">
        <f t="shared" si="76"/>
        <v>-0.19042400629473033</v>
      </c>
      <c r="BL31" s="166">
        <v>678.35625893999998</v>
      </c>
      <c r="BM31" s="17">
        <f t="shared" ref="BM31" si="92">(BL31-$BL$13)/$BL$13</f>
        <v>-0.19954791202743491</v>
      </c>
      <c r="BN31" s="53">
        <f t="shared" si="78"/>
        <v>2475.6255480000004</v>
      </c>
      <c r="BO31" s="53">
        <f t="shared" si="79"/>
        <v>29.658694074644895</v>
      </c>
      <c r="BP31" s="13"/>
      <c r="BQ31" s="13"/>
      <c r="BR31" s="13"/>
    </row>
    <row r="32" spans="1:70" x14ac:dyDescent="0.25">
      <c r="AV32" s="208" t="s">
        <v>127</v>
      </c>
      <c r="AW32" s="131">
        <v>2000</v>
      </c>
      <c r="AX32" s="10"/>
      <c r="AY32" s="10"/>
      <c r="AZ32" s="150">
        <f>(SUMIF($A$3:$A$29,AW32,$AB$3:$AB$29)-$AZ$8)/$AZ$8</f>
        <v>0</v>
      </c>
      <c r="BA32" s="150">
        <f>(SUMIF($A$3:$A$29,AW32,$AF$3:$AF$29)-$BA8)/$BA8</f>
        <v>0</v>
      </c>
      <c r="BB32" s="150">
        <f>(SUMIF($A$3:$A$29,AW32,$AJ$3:$AJ$29)-$BB8)/$BB8</f>
        <v>0</v>
      </c>
      <c r="BC32" s="150">
        <f>(SUMIF($A$3:$A$29,AW32,$AJ$3:$AJ$29)/SUMIF($A$3:$A$29,AW32,$AF$3:$AF$29)-$BC8)/$BC8</f>
        <v>0</v>
      </c>
      <c r="BD32" s="158">
        <v>7.95740947</v>
      </c>
      <c r="BE32" s="158">
        <v>18.772590529999999</v>
      </c>
      <c r="BF32" s="150">
        <f t="shared" ref="BF32" si="93">(BD32/BE32-$BF$8)/$BF$8</f>
        <v>0</v>
      </c>
      <c r="BG32" s="150">
        <f t="shared" ref="BG32" si="94">((BD32+BE32)-$BG$8)/$BG$8</f>
        <v>0</v>
      </c>
      <c r="BH32" s="164">
        <v>9.1421408900000003</v>
      </c>
      <c r="BI32" s="154">
        <f>(BH32-$BH$8)/$BH$8</f>
        <v>-4.7106519193259077E-3</v>
      </c>
      <c r="BJ32" s="197">
        <v>16.598279389999998</v>
      </c>
      <c r="BK32" s="194">
        <f>(BJ32-$BJ8)/$BJ8</f>
        <v>0</v>
      </c>
      <c r="BL32" s="164">
        <v>21.760224659999999</v>
      </c>
      <c r="BM32" s="154">
        <f t="shared" ref="BM32" si="95">(BL32-$BL$8)/$BL$8</f>
        <v>0</v>
      </c>
      <c r="BN32" s="23">
        <f>SUMIF($A$3:$A$29,AW32,$X$3:$X$29)</f>
        <v>881.61855719999994</v>
      </c>
      <c r="BO32" s="23">
        <f>SUMIF($A$3:$A$29,AW32,$AB$3:$AB$29)</f>
        <v>26.577942222222219</v>
      </c>
      <c r="BP32" s="13"/>
      <c r="BQ32" s="13"/>
      <c r="BR32" s="13"/>
    </row>
    <row r="33" spans="48:70" x14ac:dyDescent="0.25">
      <c r="AV33" s="209"/>
      <c r="AW33" s="132">
        <v>2020</v>
      </c>
      <c r="AX33" s="13"/>
      <c r="AY33" s="13"/>
      <c r="AZ33" s="151">
        <f t="shared" ref="AZ33:AZ37" si="96">(SUMIF($A$3:$A$29,AW33,$AB$3:$AB$29)-$AZ$8)/$AZ$8</f>
        <v>3.7600311570306827E-2</v>
      </c>
      <c r="BA33" s="151">
        <f t="shared" ref="BA33:BA37" si="97">(SUMIF($A$3:$A$29,AW33,$AF$3:$AF$29)-$BA9)/$BA9</f>
        <v>-0.11056181240638047</v>
      </c>
      <c r="BB33" s="151">
        <f t="shared" ref="BB33:BB37" si="98">(SUMIF($A$3:$A$29,AW33,$AJ$3:$AJ$29)-$BB9)/$BB9</f>
        <v>-5.5552144479392468E-2</v>
      </c>
      <c r="BC33" s="151">
        <f t="shared" ref="BC33:BC37" si="99">(SUMIF($A$3:$A$29,AW33,$AJ$3:$AJ$29)/SUMIF($A$3:$A$29,AW33,$AF$3:$AF$29)-$BC9)/$BC9</f>
        <v>6.1847656975261088E-2</v>
      </c>
      <c r="BD33" s="156">
        <v>17.000468739999999</v>
      </c>
      <c r="BE33" s="156">
        <v>19.892572319999999</v>
      </c>
      <c r="BF33" s="151">
        <f t="shared" ref="BF33" si="100">(BD33/BE33-$BF$9)/$BF$9</f>
        <v>-2.9482923454533357E-2</v>
      </c>
      <c r="BG33" s="151">
        <f t="shared" ref="BG33" si="101">((BD33+BE33)-$BG$9)/$BG$9</f>
        <v>8.1901796987535313E-3</v>
      </c>
      <c r="BH33" s="165">
        <v>27.81911521</v>
      </c>
      <c r="BI33" s="155">
        <f>(BH33-$BH$9)/$BH$9</f>
        <v>-8.3054436145692426E-2</v>
      </c>
      <c r="BJ33" s="198">
        <v>38.430105009999998</v>
      </c>
      <c r="BK33" s="44">
        <f t="shared" ref="BK33:BK37" si="102">(BJ33-$BJ9)/$BJ9</f>
        <v>-5.8220877457127049E-2</v>
      </c>
      <c r="BL33" s="165">
        <v>60.046569130000002</v>
      </c>
      <c r="BM33" s="155">
        <f t="shared" ref="BM33" si="103">(BL33-$BL$9)/$BL$9</f>
        <v>-7.772645540387095E-2</v>
      </c>
      <c r="BN33" s="23">
        <f t="shared" ref="BN33:BN37" si="104">SUMIF($A$3:$A$29,AW33,$X$3:$X$29)</f>
        <v>1049.3453252000002</v>
      </c>
      <c r="BO33" s="23">
        <f t="shared" ref="BO33:BO37" si="105">SUMIF($A$3:$A$29,AW33,$AB$3:$AB$29)</f>
        <v>27.577281130675388</v>
      </c>
      <c r="BP33" s="13"/>
      <c r="BQ33" s="13"/>
      <c r="BR33" s="13"/>
    </row>
    <row r="34" spans="48:70" x14ac:dyDescent="0.25">
      <c r="AV34" s="209"/>
      <c r="AW34" s="132">
        <v>2040</v>
      </c>
      <c r="AX34" s="13"/>
      <c r="AY34" s="13"/>
      <c r="AZ34" s="151">
        <f t="shared" si="96"/>
        <v>5.7260954926849399E-2</v>
      </c>
      <c r="BA34" s="151">
        <f t="shared" si="97"/>
        <v>-0.17572713478305468</v>
      </c>
      <c r="BB34" s="151">
        <f t="shared" si="98"/>
        <v>-8.6881445672732399E-2</v>
      </c>
      <c r="BC34" s="151">
        <f t="shared" si="99"/>
        <v>0.10778674497181047</v>
      </c>
      <c r="BD34" s="156">
        <v>27.129781390000002</v>
      </c>
      <c r="BE34" s="156">
        <v>15.609492380000001</v>
      </c>
      <c r="BF34" s="151">
        <f t="shared" ref="BF34" si="106">(BD34/BE34-$BF$10)/$BF$10</f>
        <v>-4.9895279897331259E-2</v>
      </c>
      <c r="BG34" s="151">
        <f t="shared" ref="BG34" si="107">((BD34+BE34)-$BG$10)/$BG$10</f>
        <v>1.9160203555237693E-2</v>
      </c>
      <c r="BH34" s="165">
        <v>67.890629430000004</v>
      </c>
      <c r="BI34" s="155">
        <f>(BH34-$BH$10)/$BH$10</f>
        <v>-0.11542857082147764</v>
      </c>
      <c r="BJ34" s="198">
        <v>78.207570380000007</v>
      </c>
      <c r="BK34" s="44">
        <f t="shared" si="102"/>
        <v>-8.9215229647800792E-2</v>
      </c>
      <c r="BL34" s="165">
        <v>137.38031848</v>
      </c>
      <c r="BM34" s="155">
        <f t="shared" ref="BM34" si="108">(BL34-$BL$10)/$BL$10</f>
        <v>-0.11028244310125081</v>
      </c>
      <c r="BN34" s="23">
        <f t="shared" si="104"/>
        <v>1270.6069692000001</v>
      </c>
      <c r="BO34" s="23">
        <f t="shared" si="105"/>
        <v>28.099820573857293</v>
      </c>
      <c r="BP34" s="13"/>
      <c r="BQ34" s="13"/>
      <c r="BR34" s="13"/>
    </row>
    <row r="35" spans="48:70" x14ac:dyDescent="0.25">
      <c r="AV35" s="209"/>
      <c r="AW35" s="132">
        <v>2060</v>
      </c>
      <c r="AX35" s="13"/>
      <c r="AY35" s="13"/>
      <c r="AZ35" s="151">
        <f t="shared" si="96"/>
        <v>8.1284906308559557E-2</v>
      </c>
      <c r="BA35" s="151">
        <f t="shared" si="97"/>
        <v>-0.26221036566793826</v>
      </c>
      <c r="BB35" s="151">
        <f t="shared" si="98"/>
        <v>-0.12729092677252879</v>
      </c>
      <c r="BC35" s="151">
        <f t="shared" si="99"/>
        <v>0.18286979460961814</v>
      </c>
      <c r="BD35" s="156">
        <v>34.012402860000002</v>
      </c>
      <c r="BE35" s="156">
        <v>9.7335289300000003</v>
      </c>
      <c r="BF35" s="151">
        <f t="shared" ref="BF35" si="109">(BD35/BE35-$BF$11)/$BF$11</f>
        <v>-8.0478937288964478E-2</v>
      </c>
      <c r="BG35" s="151">
        <f t="shared" ref="BG35" si="110">((BD35+BE35)-$BG$11)/$BG$11</f>
        <v>3.0949007369599945E-2</v>
      </c>
      <c r="BH35" s="165">
        <v>132.73465945999999</v>
      </c>
      <c r="BI35" s="155">
        <f>(BH35-$BH$11)/$BH$11</f>
        <v>-0.15254437243144936</v>
      </c>
      <c r="BJ35" s="198">
        <v>137.7690388</v>
      </c>
      <c r="BK35" s="44">
        <f t="shared" si="102"/>
        <v>-0.12905615010445515</v>
      </c>
      <c r="BL35" s="165">
        <v>258.64151843000002</v>
      </c>
      <c r="BM35" s="155">
        <f t="shared" ref="BM35" si="111">(BL35-$BL$11)/$BL$11</f>
        <v>-0.14845379649187174</v>
      </c>
      <c r="BN35" s="23">
        <f t="shared" si="104"/>
        <v>1665.4800136000001</v>
      </c>
      <c r="BO35" s="23">
        <f t="shared" si="105"/>
        <v>28.738327765629862</v>
      </c>
      <c r="BP35" s="13"/>
      <c r="BQ35" s="13"/>
      <c r="BR35" s="13"/>
    </row>
    <row r="36" spans="48:70" x14ac:dyDescent="0.25">
      <c r="AV36" s="209"/>
      <c r="AW36" s="132">
        <v>2080</v>
      </c>
      <c r="AX36" s="13"/>
      <c r="AY36" s="13"/>
      <c r="AZ36" s="151">
        <f t="shared" si="96"/>
        <v>0.10475381408611782</v>
      </c>
      <c r="BA36" s="151">
        <f t="shared" si="97"/>
        <v>-0.35397666054547711</v>
      </c>
      <c r="BB36" s="151">
        <f t="shared" si="98"/>
        <v>-0.16902604380880809</v>
      </c>
      <c r="BC36" s="151">
        <f t="shared" si="99"/>
        <v>0.28629092084015756</v>
      </c>
      <c r="BD36" s="156">
        <v>36.283438060000002</v>
      </c>
      <c r="BE36" s="156">
        <v>5.2122261999999999</v>
      </c>
      <c r="BF36" s="151">
        <f t="shared" ref="BF36" si="112">(BD36/BE36-$BF$12)/$BF$12</f>
        <v>-0.11821928019784184</v>
      </c>
      <c r="BG36" s="151">
        <f t="shared" ref="BG36" si="113">((BD36+BE36)-$BG$12)/$BG$12</f>
        <v>4.1223707229755602E-2</v>
      </c>
      <c r="BH36" s="165">
        <v>224.69880939000001</v>
      </c>
      <c r="BI36" s="155">
        <f>(BH36-$BH$12)/$BH$12</f>
        <v>-0.18832580085245884</v>
      </c>
      <c r="BJ36" s="198">
        <v>219.96858112000001</v>
      </c>
      <c r="BK36" s="44">
        <f t="shared" si="102"/>
        <v>-0.17029515123377581</v>
      </c>
      <c r="BL36" s="165">
        <v>428.92386142999999</v>
      </c>
      <c r="BM36" s="155">
        <f t="shared" ref="BM36" si="114">(BL36-$BL$12)/$BL$12</f>
        <v>-0.18542333763356922</v>
      </c>
      <c r="BN36" s="23">
        <f t="shared" si="104"/>
        <v>2183.46326</v>
      </c>
      <c r="BO36" s="23">
        <f t="shared" si="105"/>
        <v>29.362083040560467</v>
      </c>
      <c r="BP36" s="13"/>
      <c r="BQ36" s="13"/>
      <c r="BR36" s="13"/>
    </row>
    <row r="37" spans="48:70" ht="15.75" thickBot="1" x14ac:dyDescent="0.3">
      <c r="AV37" s="210"/>
      <c r="AW37" s="133">
        <v>2100</v>
      </c>
      <c r="AX37" s="16"/>
      <c r="AY37" s="16"/>
      <c r="AZ37" s="152">
        <f t="shared" si="96"/>
        <v>0.12664790431458131</v>
      </c>
      <c r="BA37" s="152">
        <f t="shared" si="97"/>
        <v>-0.44607317726204126</v>
      </c>
      <c r="BB37" s="152">
        <f t="shared" si="98"/>
        <v>-0.20997376564558931</v>
      </c>
      <c r="BC37" s="152">
        <f t="shared" si="99"/>
        <v>0.4262285231999704</v>
      </c>
      <c r="BD37" s="157">
        <v>35.154735119999998</v>
      </c>
      <c r="BE37" s="157">
        <v>2.55999161</v>
      </c>
      <c r="BF37" s="152">
        <f t="shared" ref="BF37" si="115">(BD37/BE37-$BF$13)/$BF$13</f>
        <v>-0.16266076573686036</v>
      </c>
      <c r="BG37" s="152">
        <f t="shared" ref="BG37" si="116">((BD37+BE37)-$BG$13)/$BG$13</f>
        <v>4.907447717593387E-2</v>
      </c>
      <c r="BH37" s="166">
        <v>0</v>
      </c>
      <c r="BI37" s="17"/>
      <c r="BJ37" s="199">
        <v>331.08074174000001</v>
      </c>
      <c r="BK37" s="200">
        <f t="shared" si="102"/>
        <v>-0.21089085962394358</v>
      </c>
      <c r="BL37" s="166">
        <v>659.74975577999999</v>
      </c>
      <c r="BM37" s="17">
        <f t="shared" ref="BM37" si="117">(BL37-$BL$13)/$BL$13</f>
        <v>-0.22150335816360367</v>
      </c>
      <c r="BN37" s="53">
        <f t="shared" si="104"/>
        <v>2784.5165440000001</v>
      </c>
      <c r="BO37" s="53">
        <f t="shared" si="105"/>
        <v>29.94398290566069</v>
      </c>
      <c r="BP37" s="13"/>
      <c r="BQ37" s="13"/>
      <c r="BR37" s="13"/>
    </row>
    <row r="40" spans="48:70" x14ac:dyDescent="0.25">
      <c r="AY40" s="233"/>
      <c r="AZ40" s="233"/>
      <c r="BA40" s="233"/>
      <c r="BB40" s="233"/>
      <c r="BC40" s="233"/>
    </row>
    <row r="41" spans="48:70" x14ac:dyDescent="0.25">
      <c r="AY41" s="233"/>
      <c r="AZ41" s="233"/>
      <c r="BA41" s="233"/>
      <c r="BB41" s="233"/>
      <c r="BC41" s="233"/>
    </row>
    <row r="42" spans="48:70" x14ac:dyDescent="0.25">
      <c r="AY42" s="233"/>
      <c r="AZ42" s="233"/>
      <c r="BA42" s="233"/>
      <c r="BB42" s="233"/>
      <c r="BC42" s="233"/>
    </row>
    <row r="43" spans="48:70" x14ac:dyDescent="0.25">
      <c r="AY43" s="233"/>
      <c r="AZ43" s="233"/>
      <c r="BA43" s="233"/>
      <c r="BB43" s="233"/>
      <c r="BC43" s="233"/>
      <c r="BD43" s="187"/>
      <c r="BE43" s="187"/>
      <c r="BF43" s="187"/>
      <c r="BG43" s="187"/>
      <c r="BH43" s="187"/>
    </row>
    <row r="44" spans="48:70" x14ac:dyDescent="0.25">
      <c r="AY44" s="233"/>
      <c r="AZ44" s="233"/>
      <c r="BA44" s="233"/>
      <c r="BB44" s="233"/>
      <c r="BC44" s="233"/>
      <c r="BE44" s="187"/>
      <c r="BF44" s="187"/>
      <c r="BG44" s="187"/>
      <c r="BH44" s="187"/>
    </row>
    <row r="45" spans="48:70" x14ac:dyDescent="0.25">
      <c r="AZ45" s="187"/>
      <c r="BA45" s="187"/>
      <c r="BB45" s="187"/>
      <c r="BC45" s="187"/>
      <c r="BD45" s="187"/>
      <c r="BE45" s="187"/>
      <c r="BF45" s="187"/>
      <c r="BG45" s="187"/>
      <c r="BH45" s="187"/>
    </row>
    <row r="46" spans="48:70" x14ac:dyDescent="0.25">
      <c r="AY46" s="187"/>
      <c r="AZ46" s="187"/>
      <c r="BA46" s="187"/>
      <c r="BB46" s="187"/>
      <c r="BC46" s="187"/>
      <c r="BE46" s="187"/>
      <c r="BF46" s="187"/>
      <c r="BG46" s="187"/>
      <c r="BH46" s="187"/>
    </row>
    <row r="47" spans="48:70" x14ac:dyDescent="0.25"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</row>
    <row r="48" spans="48:70" x14ac:dyDescent="0.25"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</row>
    <row r="49" spans="47:60" x14ac:dyDescent="0.25"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</row>
    <row r="50" spans="47:60" x14ac:dyDescent="0.25">
      <c r="AY50" s="187"/>
      <c r="AZ50" s="187"/>
      <c r="BA50" s="187"/>
      <c r="BB50" s="187"/>
      <c r="BC50" s="187"/>
      <c r="BD50" s="187"/>
      <c r="BE50" s="187"/>
      <c r="BF50" s="187"/>
      <c r="BG50" s="187"/>
      <c r="BH50" s="187"/>
    </row>
    <row r="51" spans="47:60" x14ac:dyDescent="0.25">
      <c r="AW51" s="234"/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</row>
    <row r="52" spans="47:60" x14ac:dyDescent="0.25">
      <c r="AW52" s="234"/>
      <c r="BB52" s="233"/>
      <c r="BC52" s="187"/>
      <c r="BD52" s="187"/>
      <c r="BE52" s="187"/>
      <c r="BF52" s="187"/>
      <c r="BG52" s="187"/>
      <c r="BH52" s="187"/>
    </row>
    <row r="53" spans="47:60" x14ac:dyDescent="0.25">
      <c r="AW53" s="234"/>
      <c r="BB53" s="233"/>
      <c r="BC53" s="187"/>
      <c r="BD53" s="187"/>
      <c r="BE53" s="187"/>
      <c r="BF53" s="187"/>
      <c r="BG53" s="187"/>
      <c r="BH53" s="187"/>
    </row>
    <row r="54" spans="47:60" x14ac:dyDescent="0.25">
      <c r="AW54" s="234"/>
      <c r="BB54" s="233"/>
      <c r="BC54" s="187"/>
      <c r="BD54" s="187"/>
      <c r="BE54" s="187"/>
      <c r="BF54" s="187"/>
      <c r="BG54" s="187"/>
      <c r="BH54" s="187"/>
    </row>
    <row r="55" spans="47:60" x14ac:dyDescent="0.25">
      <c r="AW55" s="234"/>
      <c r="BB55" s="233"/>
      <c r="BC55" s="187"/>
      <c r="BD55" s="187"/>
      <c r="BE55" s="187"/>
      <c r="BF55" s="187"/>
      <c r="BG55" s="187"/>
      <c r="BH55" s="187"/>
    </row>
    <row r="56" spans="47:60" x14ac:dyDescent="0.25">
      <c r="AW56" s="234"/>
      <c r="BC56" s="187"/>
      <c r="BD56" s="187"/>
      <c r="BE56" s="187"/>
      <c r="BF56" s="187"/>
      <c r="BG56" s="187"/>
      <c r="BH56" s="187"/>
    </row>
    <row r="57" spans="47:60" x14ac:dyDescent="0.25">
      <c r="AW57" s="234"/>
      <c r="BC57" s="187"/>
      <c r="BD57" s="187"/>
      <c r="BE57" s="187"/>
      <c r="BF57" s="187"/>
      <c r="BG57" s="187"/>
      <c r="BH57" s="187"/>
    </row>
    <row r="58" spans="47:60" x14ac:dyDescent="0.25">
      <c r="AW58" s="234"/>
      <c r="BC58" s="187"/>
      <c r="BD58" s="187"/>
      <c r="BE58" s="187"/>
      <c r="BF58" s="187"/>
      <c r="BG58" s="187"/>
      <c r="BH58" s="187"/>
    </row>
    <row r="59" spans="47:60" x14ac:dyDescent="0.25">
      <c r="AW59" s="234"/>
      <c r="BC59" s="187"/>
      <c r="BD59" s="187"/>
      <c r="BE59" s="187"/>
      <c r="BF59" s="187"/>
      <c r="BG59" s="187"/>
      <c r="BH59" s="187"/>
    </row>
    <row r="60" spans="47:60" x14ac:dyDescent="0.25">
      <c r="AU60" s="232"/>
      <c r="AW60" s="234"/>
      <c r="BC60" s="187"/>
      <c r="BD60" s="187"/>
      <c r="BE60" s="187"/>
      <c r="BF60" s="187"/>
      <c r="BG60" s="187"/>
      <c r="BH60" s="187"/>
    </row>
    <row r="61" spans="47:60" x14ac:dyDescent="0.25">
      <c r="AU61" s="232"/>
      <c r="AW61" s="234"/>
      <c r="BC61" s="187"/>
      <c r="BD61" s="187"/>
      <c r="BE61" s="187"/>
      <c r="BF61" s="187"/>
      <c r="BG61" s="187"/>
      <c r="BH61" s="187"/>
    </row>
    <row r="62" spans="47:60" x14ac:dyDescent="0.25">
      <c r="AU62" s="232"/>
      <c r="AW62" s="234"/>
      <c r="BC62" s="187"/>
      <c r="BD62" s="187"/>
      <c r="BE62" s="187"/>
      <c r="BF62" s="187"/>
      <c r="BG62" s="187"/>
      <c r="BH62" s="187"/>
    </row>
    <row r="63" spans="47:60" x14ac:dyDescent="0.25">
      <c r="AU63" s="232"/>
      <c r="AW63" s="234"/>
      <c r="BC63" s="187"/>
      <c r="BD63" s="187"/>
      <c r="BE63" s="187"/>
      <c r="BF63" s="187"/>
      <c r="BG63" s="187"/>
      <c r="BH63" s="187"/>
    </row>
    <row r="64" spans="47:60" x14ac:dyDescent="0.25">
      <c r="AU64" s="232"/>
      <c r="AW64" s="234"/>
      <c r="BC64" s="187"/>
      <c r="BD64" s="187"/>
      <c r="BE64" s="187"/>
      <c r="BF64" s="187"/>
      <c r="BG64" s="187"/>
      <c r="BH64" s="187"/>
    </row>
    <row r="65" spans="47:60" x14ac:dyDescent="0.25">
      <c r="AU65" s="232"/>
      <c r="AW65" s="234"/>
      <c r="BC65" s="187"/>
      <c r="BD65" s="187"/>
      <c r="BE65" s="187"/>
      <c r="BF65" s="187"/>
      <c r="BG65" s="187"/>
      <c r="BH65" s="187"/>
    </row>
    <row r="66" spans="47:60" x14ac:dyDescent="0.25">
      <c r="AW66" s="234"/>
      <c r="BC66" s="187"/>
      <c r="BD66" s="187"/>
      <c r="BE66" s="187"/>
      <c r="BF66" s="187"/>
      <c r="BG66" s="187"/>
      <c r="BH66" s="187"/>
    </row>
    <row r="67" spans="47:60" x14ac:dyDescent="0.25">
      <c r="AW67" s="234"/>
      <c r="BC67" s="187"/>
      <c r="BD67" s="187"/>
      <c r="BE67" s="187"/>
      <c r="BF67" s="187"/>
      <c r="BG67" s="187"/>
      <c r="BH67" s="187"/>
    </row>
    <row r="68" spans="47:60" x14ac:dyDescent="0.25">
      <c r="AW68" s="234"/>
      <c r="BC68" s="187"/>
      <c r="BD68" s="187"/>
      <c r="BE68" s="187"/>
      <c r="BF68" s="187"/>
      <c r="BG68" s="187"/>
      <c r="BH68" s="187"/>
    </row>
    <row r="69" spans="47:60" x14ac:dyDescent="0.25">
      <c r="AW69" s="234"/>
      <c r="BC69" s="187"/>
      <c r="BD69" s="187"/>
      <c r="BE69" s="187"/>
      <c r="BF69" s="187"/>
      <c r="BG69" s="187"/>
      <c r="BH69" s="187"/>
    </row>
    <row r="70" spans="47:60" x14ac:dyDescent="0.25">
      <c r="AW70" s="234"/>
      <c r="BC70" s="187"/>
      <c r="BD70" s="187"/>
      <c r="BE70" s="187"/>
      <c r="BF70" s="187"/>
      <c r="BG70" s="187"/>
      <c r="BH70" s="187"/>
    </row>
    <row r="71" spans="47:60" x14ac:dyDescent="0.25">
      <c r="AW71" s="234"/>
      <c r="BC71" s="187"/>
      <c r="BD71" s="187"/>
      <c r="BE71" s="187"/>
      <c r="BF71" s="187"/>
      <c r="BG71" s="187"/>
      <c r="BH71" s="187"/>
    </row>
    <row r="72" spans="47:60" x14ac:dyDescent="0.25">
      <c r="AW72" s="234"/>
      <c r="BC72" s="187"/>
      <c r="BD72" s="187"/>
      <c r="BE72" s="187"/>
      <c r="BF72" s="187"/>
      <c r="BG72" s="187"/>
      <c r="BH72" s="187"/>
    </row>
    <row r="73" spans="47:60" x14ac:dyDescent="0.25">
      <c r="AW73" s="234"/>
      <c r="BC73" s="187"/>
      <c r="BD73" s="187"/>
      <c r="BE73" s="187"/>
      <c r="BF73" s="187"/>
      <c r="BG73" s="187"/>
      <c r="BH73" s="187"/>
    </row>
    <row r="74" spans="47:60" x14ac:dyDescent="0.25">
      <c r="AW74" s="234"/>
    </row>
    <row r="75" spans="47:60" x14ac:dyDescent="0.25">
      <c r="AW75" s="232"/>
    </row>
    <row r="76" spans="47:60" x14ac:dyDescent="0.25">
      <c r="AW76" s="232"/>
    </row>
    <row r="77" spans="47:60" x14ac:dyDescent="0.25">
      <c r="AW77" s="232"/>
    </row>
    <row r="78" spans="47:60" x14ac:dyDescent="0.25">
      <c r="AW78" s="232"/>
    </row>
    <row r="79" spans="47:60" x14ac:dyDescent="0.25">
      <c r="AW79" s="232"/>
    </row>
    <row r="80" spans="47:60" x14ac:dyDescent="0.25">
      <c r="AW80" s="232"/>
    </row>
  </sheetData>
  <mergeCells count="13">
    <mergeCell ref="Y1:AB1"/>
    <mergeCell ref="U1:X1"/>
    <mergeCell ref="B1:H1"/>
    <mergeCell ref="I1:K1"/>
    <mergeCell ref="N1:P1"/>
    <mergeCell ref="AV20:AV25"/>
    <mergeCell ref="AV26:AV31"/>
    <mergeCell ref="AV32:AV37"/>
    <mergeCell ref="AC1:AF1"/>
    <mergeCell ref="AG1:AJ1"/>
    <mergeCell ref="AV2:AV7"/>
    <mergeCell ref="AV8:AV13"/>
    <mergeCell ref="AV14:AV1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BR72"/>
  <sheetViews>
    <sheetView tabSelected="1" topLeftCell="AU13" zoomScale="85" zoomScaleNormal="85" workbookViewId="0">
      <selection activeCell="AW44" sqref="AW44"/>
    </sheetView>
  </sheetViews>
  <sheetFormatPr defaultRowHeight="15" x14ac:dyDescent="0.25"/>
  <cols>
    <col min="6" max="6" width="10" bestFit="1" customWidth="1"/>
    <col min="11" max="11" width="11" bestFit="1" customWidth="1"/>
    <col min="12" max="12" width="10.7109375" bestFit="1" customWidth="1"/>
    <col min="13" max="13" width="11.42578125" bestFit="1" customWidth="1"/>
    <col min="14" max="16" width="9.5703125" bestFit="1" customWidth="1"/>
    <col min="19" max="19" width="14" bestFit="1" customWidth="1"/>
    <col min="20" max="20" width="16" bestFit="1" customWidth="1"/>
    <col min="21" max="24" width="7.42578125" bestFit="1" customWidth="1"/>
    <col min="37" max="37" width="15.28515625" bestFit="1" customWidth="1"/>
  </cols>
  <sheetData>
    <row r="1" spans="1:70" ht="15.75" thickBot="1" x14ac:dyDescent="0.3">
      <c r="B1" s="220" t="s">
        <v>112</v>
      </c>
      <c r="C1" s="221"/>
      <c r="D1" s="221"/>
      <c r="E1" s="221"/>
      <c r="F1" s="221"/>
      <c r="G1" s="221"/>
      <c r="H1" s="222"/>
      <c r="I1" s="223" t="s">
        <v>112</v>
      </c>
      <c r="J1" s="223"/>
      <c r="K1" s="223"/>
      <c r="L1" s="56" t="s">
        <v>114</v>
      </c>
      <c r="M1" s="55" t="s">
        <v>136</v>
      </c>
      <c r="N1" s="211" t="s">
        <v>147</v>
      </c>
      <c r="O1" s="212"/>
      <c r="P1" s="213"/>
      <c r="S1" s="59" t="s">
        <v>115</v>
      </c>
      <c r="T1" s="78" t="s">
        <v>145</v>
      </c>
      <c r="U1" s="218" t="s">
        <v>139</v>
      </c>
      <c r="V1" s="218"/>
      <c r="W1" s="218"/>
      <c r="X1" s="219"/>
      <c r="Y1" s="217" t="s">
        <v>130</v>
      </c>
      <c r="Z1" s="218"/>
      <c r="AA1" s="218"/>
      <c r="AB1" s="219"/>
      <c r="AC1" s="211" t="s">
        <v>164</v>
      </c>
      <c r="AD1" s="212"/>
      <c r="AE1" s="212"/>
      <c r="AF1" s="213"/>
      <c r="AG1" s="214" t="s">
        <v>171</v>
      </c>
      <c r="AH1" s="215"/>
      <c r="AI1" s="215"/>
      <c r="AJ1" s="216"/>
      <c r="AV1" s="9"/>
      <c r="AW1" s="10"/>
      <c r="AX1" s="128" t="s">
        <v>157</v>
      </c>
      <c r="AY1" s="129" t="s">
        <v>158</v>
      </c>
      <c r="AZ1" s="129" t="s">
        <v>172</v>
      </c>
      <c r="BA1" s="129" t="s">
        <v>159</v>
      </c>
      <c r="BB1" s="129" t="s">
        <v>160</v>
      </c>
      <c r="BC1" s="129" t="s">
        <v>185</v>
      </c>
      <c r="BD1" s="129" t="s">
        <v>9</v>
      </c>
      <c r="BE1" s="129" t="s">
        <v>8</v>
      </c>
      <c r="BF1" s="129" t="s">
        <v>11</v>
      </c>
      <c r="BG1" s="129" t="s">
        <v>10</v>
      </c>
      <c r="BH1" s="129" t="s">
        <v>161</v>
      </c>
      <c r="BI1" s="130" t="s">
        <v>176</v>
      </c>
      <c r="BJ1" s="196" t="s">
        <v>187</v>
      </c>
      <c r="BK1" s="195" t="s">
        <v>188</v>
      </c>
      <c r="BL1" s="129" t="s">
        <v>180</v>
      </c>
      <c r="BM1" s="130" t="s">
        <v>181</v>
      </c>
      <c r="BN1" s="188" t="s">
        <v>177</v>
      </c>
      <c r="BO1" s="153" t="s">
        <v>130</v>
      </c>
      <c r="BP1" s="153"/>
      <c r="BQ1" s="153"/>
      <c r="BR1" s="153"/>
    </row>
    <row r="2" spans="1:70" ht="15.75" thickBot="1" x14ac:dyDescent="0.3">
      <c r="B2" s="18" t="s">
        <v>0</v>
      </c>
      <c r="C2" s="19" t="s">
        <v>1</v>
      </c>
      <c r="D2" s="19" t="s">
        <v>2</v>
      </c>
      <c r="E2" s="19" t="s">
        <v>3</v>
      </c>
      <c r="F2" s="19" t="s">
        <v>4</v>
      </c>
      <c r="G2" s="19" t="s">
        <v>5</v>
      </c>
      <c r="H2" s="20" t="s">
        <v>6</v>
      </c>
      <c r="I2" s="93" t="s">
        <v>7</v>
      </c>
      <c r="J2" s="94" t="s">
        <v>8</v>
      </c>
      <c r="K2" s="94" t="s">
        <v>9</v>
      </c>
      <c r="L2" s="57" t="s">
        <v>135</v>
      </c>
      <c r="M2" s="54" t="s">
        <v>137</v>
      </c>
      <c r="N2" s="94" t="s">
        <v>7</v>
      </c>
      <c r="O2" s="94" t="s">
        <v>8</v>
      </c>
      <c r="P2" s="94" t="s">
        <v>9</v>
      </c>
      <c r="Q2" s="46" t="s">
        <v>10</v>
      </c>
      <c r="R2" s="58" t="s">
        <v>11</v>
      </c>
      <c r="S2" s="60" t="s">
        <v>138</v>
      </c>
      <c r="T2" s="79" t="s">
        <v>146</v>
      </c>
      <c r="U2" s="91" t="str">
        <f>RCP!A2</f>
        <v>RCP 2.6</v>
      </c>
      <c r="V2" s="91" t="str">
        <f>RCP!A3</f>
        <v>RCP 4.5</v>
      </c>
      <c r="W2" s="91" t="str">
        <f>RCP!A4</f>
        <v>RCP 6.0</v>
      </c>
      <c r="X2" s="91" t="str">
        <f>RCP!A5</f>
        <v>RCP 8.5</v>
      </c>
      <c r="Y2" s="90" t="str">
        <f>U2</f>
        <v>RCP 2.6</v>
      </c>
      <c r="Z2" s="91" t="str">
        <f t="shared" ref="Z2:AB2" si="0">V2</f>
        <v>RCP 4.5</v>
      </c>
      <c r="AA2" s="91" t="str">
        <f t="shared" si="0"/>
        <v>RCP 6.0</v>
      </c>
      <c r="AB2" s="92" t="str">
        <f t="shared" si="0"/>
        <v>RCP 8.5</v>
      </c>
      <c r="AC2" s="123" t="str">
        <f>Y2</f>
        <v>RCP 2.6</v>
      </c>
      <c r="AD2" s="124" t="str">
        <f t="shared" ref="AD2:AF2" si="1">Z2</f>
        <v>RCP 4.5</v>
      </c>
      <c r="AE2" s="124" t="str">
        <f t="shared" si="1"/>
        <v>RCP 6.0</v>
      </c>
      <c r="AF2" s="125" t="str">
        <f t="shared" si="1"/>
        <v>RCP 8.5</v>
      </c>
      <c r="AG2" s="139" t="str">
        <f>AC2</f>
        <v>RCP 2.6</v>
      </c>
      <c r="AH2" s="140" t="str">
        <f t="shared" ref="AH2:AJ2" si="2">AD2</f>
        <v>RCP 4.5</v>
      </c>
      <c r="AI2" s="140" t="str">
        <f t="shared" si="2"/>
        <v>RCP 6.0</v>
      </c>
      <c r="AJ2" s="141" t="str">
        <f t="shared" si="2"/>
        <v>RCP 8.5</v>
      </c>
      <c r="AV2" s="208" t="s">
        <v>162</v>
      </c>
      <c r="AW2" s="131">
        <v>2000</v>
      </c>
      <c r="AX2" s="235">
        <v>83.728602199999997</v>
      </c>
      <c r="AY2" s="235">
        <v>56.145766719999997</v>
      </c>
      <c r="AZ2" s="13"/>
      <c r="BA2" s="13"/>
      <c r="BB2" s="13"/>
      <c r="BC2" s="13"/>
      <c r="BD2" s="13">
        <f>SUMIF($A$3:$A$29,AW2,$P$3:$P$29)</f>
        <v>8.7775564799999994</v>
      </c>
      <c r="BE2" s="13">
        <f>SUMIF($A$3:$A$29,AW2,$O$3:$O$29)</f>
        <v>17.954092799999998</v>
      </c>
      <c r="BF2" s="13">
        <f>BD2/BE2</f>
        <v>0.48888888888888893</v>
      </c>
      <c r="BG2" s="13">
        <f>BD2+BE2</f>
        <v>26.731649279999999</v>
      </c>
      <c r="BH2" s="13"/>
      <c r="BI2" s="14"/>
      <c r="BJ2" s="14"/>
      <c r="BK2" s="23"/>
      <c r="BL2" s="13"/>
      <c r="BM2" s="14"/>
      <c r="BN2" s="27"/>
      <c r="BO2" s="27"/>
      <c r="BP2" s="13"/>
      <c r="BQ2" s="13"/>
      <c r="BR2" s="13"/>
    </row>
    <row r="3" spans="1:70" x14ac:dyDescent="0.25">
      <c r="A3" s="41">
        <v>1970</v>
      </c>
      <c r="B3" s="9">
        <f>SUMIF('EDU projections'!$B$37:$B$63,'1'!$A3,'EDU projections'!$D$37:$D$63)</f>
        <v>0.46</v>
      </c>
      <c r="C3" s="10">
        <f>SUMIF('EDU projections'!$B$64:$B$90,'1'!$A3,'EDU projections'!$D$64:$D$90)</f>
        <v>0.14000000000000001</v>
      </c>
      <c r="D3" s="10">
        <f>SUMIF('EDU projections'!$B$91:$B$117,'1'!$A3,'EDU projections'!$D$91:$D$117)</f>
        <v>0.17</v>
      </c>
      <c r="E3" s="10">
        <f>SUMIF('EDU projections'!$B$118:$B$144,'1'!$A3,'EDU projections'!$D$118:$D$144)</f>
        <v>0.14000000000000001</v>
      </c>
      <c r="F3" s="10">
        <f>SUMIF('EDU projections'!$B$145:$B$171,'1'!$A3,'EDU projections'!$D$145:$D$171)</f>
        <v>0.02</v>
      </c>
      <c r="G3" s="10">
        <f>SUMIF('EDU projections'!$B$172:$B$198,'1'!$A3,'EDU projections'!$D$172:$D$198)</f>
        <v>0.04</v>
      </c>
      <c r="H3" s="11">
        <f>SUMIF('EDU projections'!$B$199:$B$225,'1'!$A3,'EDU projections'!$D$199:$D$225)</f>
        <v>0.02</v>
      </c>
      <c r="I3" s="9">
        <f>B3</f>
        <v>0.46</v>
      </c>
      <c r="J3" s="10">
        <f>C3+D3+E3+F3</f>
        <v>0.47000000000000008</v>
      </c>
      <c r="K3" s="10">
        <f>G3+H3</f>
        <v>0.06</v>
      </c>
      <c r="L3" s="23">
        <f>SUMIF(Pop!$A$2:$A$58,'1'!A3,Pop!$B$2:$B$58)/1000</f>
        <v>21344.780999999999</v>
      </c>
      <c r="M3" s="23"/>
      <c r="N3" s="83">
        <f>I3*$L3/1000</f>
        <v>9.8185992600000009</v>
      </c>
      <c r="O3" s="83">
        <f t="shared" ref="O3:P29" si="3">J3*$L3/1000</f>
        <v>10.032047070000001</v>
      </c>
      <c r="P3" s="84">
        <f t="shared" si="3"/>
        <v>1.2806868599999999</v>
      </c>
      <c r="Q3" s="88">
        <f>SUM(O3:P3)</f>
        <v>11.31273393</v>
      </c>
      <c r="R3" s="107">
        <f>P3/O3</f>
        <v>0.1276595744680851</v>
      </c>
      <c r="S3" s="12">
        <f>SUMIF(GDPcap!$A$182:$A$232,'1'!A3,GDPcap!$B$182:$B$232)</f>
        <v>3094.2164359319218</v>
      </c>
      <c r="T3" s="80">
        <f>S3*L3/1000000</f>
        <v>66.045372191567395</v>
      </c>
      <c r="U3" s="13"/>
      <c r="V3" s="13"/>
      <c r="W3" s="13"/>
      <c r="X3" s="14"/>
      <c r="Y3" t="s">
        <v>141</v>
      </c>
      <c r="Z3" s="98">
        <v>25</v>
      </c>
      <c r="AA3" s="13" t="s">
        <v>142</v>
      </c>
      <c r="AB3" s="14">
        <v>0.21</v>
      </c>
      <c r="AC3" s="136" t="s">
        <v>165</v>
      </c>
      <c r="AD3" s="137">
        <v>-2.2400000000000002</v>
      </c>
      <c r="AE3" s="137"/>
      <c r="AF3" s="138"/>
      <c r="AG3" s="136" t="s">
        <v>168</v>
      </c>
      <c r="AH3" s="137">
        <v>0.3</v>
      </c>
      <c r="AI3" s="137"/>
      <c r="AJ3" s="138"/>
      <c r="AV3" s="209"/>
      <c r="AW3" s="132">
        <v>2020</v>
      </c>
      <c r="AX3" s="235">
        <v>536.92770800000005</v>
      </c>
      <c r="AY3" s="235">
        <v>83.429655850000003</v>
      </c>
      <c r="AZ3" s="13"/>
      <c r="BA3" s="13"/>
      <c r="BB3" s="13"/>
      <c r="BC3" s="13"/>
      <c r="BD3" s="13">
        <f t="shared" ref="BD3:BD7" si="4">SUMIF($A$3:$A$29,AW3,$P$3:$P$29)</f>
        <v>18.584703359999999</v>
      </c>
      <c r="BE3" s="13">
        <f t="shared" ref="BE3:BE7" si="5">SUMIF($A$3:$A$29,AW3,$O$3:$O$29)</f>
        <v>19.589281920000001</v>
      </c>
      <c r="BF3" s="13">
        <f t="shared" ref="BF3:BF13" si="6">BD3/BE3</f>
        <v>0.94871794871794857</v>
      </c>
      <c r="BG3" s="13">
        <f t="shared" ref="BG3:BG13" si="7">BD3+BE3</f>
        <v>38.173985279999997</v>
      </c>
      <c r="BH3" s="13"/>
      <c r="BI3" s="14"/>
      <c r="BJ3" s="14"/>
      <c r="BK3" s="23"/>
      <c r="BL3" s="13"/>
      <c r="BM3" s="14"/>
      <c r="BN3" s="23"/>
      <c r="BO3" s="23"/>
      <c r="BP3" s="13"/>
      <c r="BQ3" s="13"/>
      <c r="BR3" s="13"/>
    </row>
    <row r="4" spans="1:70" x14ac:dyDescent="0.25">
      <c r="A4" s="42">
        <v>1975</v>
      </c>
      <c r="B4" s="12">
        <f>SUMIF('EDU projections'!$B$37:$B$63,'1'!$A4,'EDU projections'!$D$37:$D$63)</f>
        <v>0.43</v>
      </c>
      <c r="C4" s="13">
        <f>SUMIF('EDU projections'!$B$64:$B$90,'1'!$A4,'EDU projections'!$D$64:$D$90)</f>
        <v>0.13</v>
      </c>
      <c r="D4" s="13">
        <f>SUMIF('EDU projections'!$B$91:$B$117,'1'!$A4,'EDU projections'!$D$91:$D$117)</f>
        <v>0.17</v>
      </c>
      <c r="E4" s="13">
        <f>SUMIF('EDU projections'!$B$118:$B$144,'1'!$A4,'EDU projections'!$D$118:$D$144)</f>
        <v>0.16</v>
      </c>
      <c r="F4" s="13">
        <f>SUMIF('EDU projections'!$B$145:$B$171,'1'!$A4,'EDU projections'!$D$145:$D$171)</f>
        <v>0.03</v>
      </c>
      <c r="G4" s="13">
        <f>SUMIF('EDU projections'!$B$172:$B$198,'1'!$A4,'EDU projections'!$D$172:$D$198)</f>
        <v>0.05</v>
      </c>
      <c r="H4" s="14">
        <f>SUMIF('EDU projections'!$B$199:$B$225,'1'!$A4,'EDU projections'!$D$199:$D$225)</f>
        <v>0.03</v>
      </c>
      <c r="I4" s="12">
        <f t="shared" ref="I4:I29" si="8">B4</f>
        <v>0.43</v>
      </c>
      <c r="J4" s="13">
        <f t="shared" ref="J4:J29" si="9">C4+D4+E4+F4</f>
        <v>0.4900000000000001</v>
      </c>
      <c r="K4" s="13">
        <f t="shared" ref="K4:K29" si="10">G4+H4</f>
        <v>0.08</v>
      </c>
      <c r="L4" s="23">
        <f>SUMIF(Pop!$A$2:$A$58,'1'!A4,Pop!$B$2:$B$58)/1000</f>
        <v>23996.249</v>
      </c>
      <c r="M4" s="44"/>
      <c r="N4" s="61">
        <f t="shared" ref="N4:N29" si="11">I4*$L4/1000</f>
        <v>10.318387069999998</v>
      </c>
      <c r="O4" s="61">
        <f t="shared" si="3"/>
        <v>11.758162010000001</v>
      </c>
      <c r="P4" s="62">
        <f t="shared" si="3"/>
        <v>1.91969992</v>
      </c>
      <c r="Q4" s="89">
        <f t="shared" ref="Q4:Q29" si="12">SUM(O4:P4)</f>
        <v>13.677861930000001</v>
      </c>
      <c r="R4" s="29">
        <f t="shared" ref="R4:R29" si="13">P4/O4</f>
        <v>0.16326530612244897</v>
      </c>
      <c r="S4" s="12">
        <f>SUMIF(GDPcap!$A$182:$A$232,'1'!A4,GDPcap!$B$182:$B$232)</f>
        <v>3620.6010362694296</v>
      </c>
      <c r="T4" s="81">
        <f t="shared" ref="T4:T11" si="14">S4*L4/1000000</f>
        <v>86.880843995979262</v>
      </c>
      <c r="U4" s="13"/>
      <c r="V4" s="13"/>
      <c r="W4" s="13"/>
      <c r="X4" s="14"/>
      <c r="Y4" s="12" t="s">
        <v>141</v>
      </c>
      <c r="Z4" s="13">
        <f>Z3/180*PI()</f>
        <v>0.43633231299858238</v>
      </c>
      <c r="AA4" s="13" t="s">
        <v>143</v>
      </c>
      <c r="AB4" s="14">
        <v>0.5</v>
      </c>
      <c r="AC4" s="135" t="s">
        <v>166</v>
      </c>
      <c r="AD4" s="67">
        <v>0.308</v>
      </c>
      <c r="AE4" s="67"/>
      <c r="AF4" s="134"/>
      <c r="AG4" s="135" t="s">
        <v>169</v>
      </c>
      <c r="AH4" s="67">
        <v>0.08</v>
      </c>
      <c r="AI4" s="67"/>
      <c r="AJ4" s="134"/>
      <c r="AV4" s="209"/>
      <c r="AW4" s="132">
        <v>2040</v>
      </c>
      <c r="AX4" s="235">
        <v>3443.1646500000002</v>
      </c>
      <c r="AY4" s="235">
        <v>123.97207985999999</v>
      </c>
      <c r="AZ4" s="13"/>
      <c r="BA4" s="13"/>
      <c r="BB4" s="13"/>
      <c r="BC4" s="13"/>
      <c r="BD4" s="13">
        <f t="shared" si="4"/>
        <v>29.003015099999999</v>
      </c>
      <c r="BE4" s="13">
        <f t="shared" si="5"/>
        <v>15.322347600000001</v>
      </c>
      <c r="BF4" s="13">
        <f t="shared" si="6"/>
        <v>1.8928571428571428</v>
      </c>
      <c r="BG4" s="13">
        <f t="shared" si="7"/>
        <v>44.325362699999999</v>
      </c>
      <c r="BH4" s="13"/>
      <c r="BI4" s="14"/>
      <c r="BJ4" s="14"/>
      <c r="BK4" s="23"/>
      <c r="BL4" s="13"/>
      <c r="BM4" s="14"/>
      <c r="BN4" s="23"/>
      <c r="BO4" s="23"/>
      <c r="BP4" s="13"/>
      <c r="BQ4" s="13"/>
      <c r="BR4" s="13"/>
    </row>
    <row r="5" spans="1:70" x14ac:dyDescent="0.25">
      <c r="A5" s="42">
        <v>1980</v>
      </c>
      <c r="B5" s="12">
        <f>SUMIF('EDU projections'!$B$37:$B$63,'1'!$A5,'EDU projections'!$D$37:$D$63)</f>
        <v>0.41</v>
      </c>
      <c r="C5" s="13">
        <f>SUMIF('EDU projections'!$B$64:$B$90,'1'!$A5,'EDU projections'!$D$64:$D$90)</f>
        <v>0.11</v>
      </c>
      <c r="D5" s="13">
        <f>SUMIF('EDU projections'!$B$91:$B$117,'1'!$A5,'EDU projections'!$D$91:$D$117)</f>
        <v>0.16</v>
      </c>
      <c r="E5" s="13">
        <f>SUMIF('EDU projections'!$B$118:$B$144,'1'!$A5,'EDU projections'!$D$118:$D$144)</f>
        <v>0.18</v>
      </c>
      <c r="F5" s="13">
        <f>SUMIF('EDU projections'!$B$145:$B$171,'1'!$A5,'EDU projections'!$D$145:$D$171)</f>
        <v>0.04</v>
      </c>
      <c r="G5" s="13">
        <f>SUMIF('EDU projections'!$B$172:$B$198,'1'!$A5,'EDU projections'!$D$172:$D$198)</f>
        <v>0.06</v>
      </c>
      <c r="H5" s="14">
        <f>SUMIF('EDU projections'!$B$199:$B$225,'1'!$A5,'EDU projections'!$D$199:$D$225)</f>
        <v>0.04</v>
      </c>
      <c r="I5" s="12">
        <f t="shared" si="8"/>
        <v>0.41</v>
      </c>
      <c r="J5" s="13">
        <f t="shared" si="9"/>
        <v>0.49</v>
      </c>
      <c r="K5" s="13">
        <f t="shared" si="10"/>
        <v>0.1</v>
      </c>
      <c r="L5" s="23">
        <f>SUMIF(Pop!$A$2:$A$58,'1'!A5,Pop!$B$2:$B$58)/1000</f>
        <v>26934.591</v>
      </c>
      <c r="M5" s="45"/>
      <c r="N5" s="61">
        <f t="shared" si="11"/>
        <v>11.043182310000001</v>
      </c>
      <c r="O5" s="110">
        <f t="shared" si="3"/>
        <v>13.19794959</v>
      </c>
      <c r="P5" s="111">
        <f t="shared" si="3"/>
        <v>2.6934591000000001</v>
      </c>
      <c r="Q5" s="89">
        <f t="shared" si="12"/>
        <v>15.89140869</v>
      </c>
      <c r="R5" s="29">
        <f t="shared" si="13"/>
        <v>0.20408163265306123</v>
      </c>
      <c r="S5" s="12">
        <f>SUMIF(GDPcap!$A$182:$A$232,'1'!A5,GDPcap!$B$182:$B$232)</f>
        <v>4257.2565806766552</v>
      </c>
      <c r="T5" s="112">
        <f t="shared" si="14"/>
        <v>114.6674647825842</v>
      </c>
      <c r="U5" s="13"/>
      <c r="V5" s="13"/>
      <c r="W5" s="13"/>
      <c r="X5" s="14"/>
      <c r="Y5" s="12" t="s">
        <v>140</v>
      </c>
      <c r="Z5" s="13">
        <f>-28*(Z4-PI()/2)/(PI()/2)</f>
        <v>20.222222222222221</v>
      </c>
      <c r="AA5" s="13" t="s">
        <v>144</v>
      </c>
      <c r="AB5" s="14">
        <v>2.3800000000000002E-2</v>
      </c>
      <c r="AC5" s="135" t="s">
        <v>167</v>
      </c>
      <c r="AD5" s="67">
        <v>-7.3000000000000001E-3</v>
      </c>
      <c r="AE5" s="67"/>
      <c r="AF5" s="134"/>
      <c r="AG5" s="135" t="s">
        <v>170</v>
      </c>
      <c r="AH5" s="67">
        <v>-2.3E-3</v>
      </c>
      <c r="AI5" s="67"/>
      <c r="AJ5" s="134"/>
      <c r="AV5" s="209"/>
      <c r="AW5" s="132">
        <v>2060</v>
      </c>
      <c r="AX5" s="235">
        <v>22080.035400000001</v>
      </c>
      <c r="AY5" s="235">
        <v>184.21598924</v>
      </c>
      <c r="AZ5" s="13"/>
      <c r="BA5" s="13"/>
      <c r="BB5" s="13"/>
      <c r="BC5" s="13"/>
      <c r="BD5" s="13">
        <f t="shared" si="4"/>
        <v>35.68824798</v>
      </c>
      <c r="BE5" s="13">
        <f t="shared" si="5"/>
        <v>9.1924275099999999</v>
      </c>
      <c r="BF5" s="13">
        <f t="shared" si="6"/>
        <v>3.8823529411764706</v>
      </c>
      <c r="BG5" s="13">
        <f t="shared" si="7"/>
        <v>44.880675490000002</v>
      </c>
      <c r="BH5" s="13"/>
      <c r="BI5" s="14"/>
      <c r="BJ5" s="14"/>
      <c r="BK5" s="23"/>
      <c r="BL5" s="13"/>
      <c r="BM5" s="14"/>
      <c r="BN5" s="23"/>
      <c r="BO5" s="23"/>
      <c r="BP5" s="13"/>
      <c r="BQ5" s="13"/>
      <c r="BR5" s="13"/>
    </row>
    <row r="6" spans="1:70" x14ac:dyDescent="0.25">
      <c r="A6" s="42">
        <v>1985</v>
      </c>
      <c r="B6" s="12">
        <f>SUMIF('EDU projections'!$B$37:$B$63,'1'!$A6,'EDU projections'!$D$37:$D$63)</f>
        <v>0.38</v>
      </c>
      <c r="C6" s="13">
        <f>SUMIF('EDU projections'!$B$64:$B$90,'1'!$A6,'EDU projections'!$D$64:$D$90)</f>
        <v>0.09</v>
      </c>
      <c r="D6" s="13">
        <f>SUMIF('EDU projections'!$B$91:$B$117,'1'!$A6,'EDU projections'!$D$91:$D$117)</f>
        <v>0.16</v>
      </c>
      <c r="E6" s="13">
        <f>SUMIF('EDU projections'!$B$118:$B$144,'1'!$A6,'EDU projections'!$D$118:$D$144)</f>
        <v>0.19</v>
      </c>
      <c r="F6" s="13">
        <f>SUMIF('EDU projections'!$B$145:$B$171,'1'!$A6,'EDU projections'!$D$145:$D$171)</f>
        <v>0.05</v>
      </c>
      <c r="G6" s="13">
        <f>SUMIF('EDU projections'!$B$172:$B$198,'1'!$A6,'EDU projections'!$D$172:$D$198)</f>
        <v>7.0000000000000007E-2</v>
      </c>
      <c r="H6" s="14">
        <f>SUMIF('EDU projections'!$B$199:$B$225,'1'!$A6,'EDU projections'!$D$199:$D$225)</f>
        <v>0.05</v>
      </c>
      <c r="I6" s="12">
        <f t="shared" si="8"/>
        <v>0.38</v>
      </c>
      <c r="J6" s="13">
        <f t="shared" si="9"/>
        <v>0.49</v>
      </c>
      <c r="K6" s="13">
        <f t="shared" si="10"/>
        <v>0.12000000000000001</v>
      </c>
      <c r="L6" s="23">
        <f>SUMIF(Pop!$A$2:$A$58,'1'!A6,Pop!$B$2:$B$58)/1000</f>
        <v>30076.525000000001</v>
      </c>
      <c r="M6" s="44"/>
      <c r="N6" s="61">
        <f t="shared" si="11"/>
        <v>11.4290795</v>
      </c>
      <c r="O6" s="61">
        <f t="shared" si="3"/>
        <v>14.737497250000001</v>
      </c>
      <c r="P6" s="62">
        <f t="shared" si="3"/>
        <v>3.6091830000000003</v>
      </c>
      <c r="Q6" s="89">
        <f t="shared" si="12"/>
        <v>18.346680250000002</v>
      </c>
      <c r="R6" s="29">
        <f t="shared" si="13"/>
        <v>0.24489795918367346</v>
      </c>
      <c r="S6" s="12">
        <f>SUMIF(GDPcap!$A$182:$A$232,'1'!A6,GDPcap!$B$182:$B$232)</f>
        <v>4271.7493613016004</v>
      </c>
      <c r="T6" s="81">
        <f t="shared" si="14"/>
        <v>128.47937645892162</v>
      </c>
      <c r="U6" s="13"/>
      <c r="V6" s="13"/>
      <c r="W6" s="13"/>
      <c r="X6" s="14"/>
      <c r="Y6" s="12"/>
      <c r="Z6" s="13"/>
      <c r="AA6" s="13"/>
      <c r="AB6" s="14"/>
      <c r="AC6" s="12"/>
      <c r="AD6" s="13"/>
      <c r="AE6" s="13"/>
      <c r="AF6" s="14"/>
      <c r="AG6" s="12"/>
      <c r="AH6" s="13"/>
      <c r="AI6" s="13"/>
      <c r="AJ6" s="14"/>
      <c r="AV6" s="209"/>
      <c r="AW6" s="132">
        <v>2080</v>
      </c>
      <c r="AX6" s="235">
        <v>141592.986</v>
      </c>
      <c r="AY6" s="235">
        <v>273.73526951999997</v>
      </c>
      <c r="AZ6" s="13"/>
      <c r="BA6" s="13"/>
      <c r="BB6" s="13"/>
      <c r="BC6" s="13"/>
      <c r="BD6" s="13">
        <f t="shared" si="4"/>
        <v>38.185937799999998</v>
      </c>
      <c r="BE6" s="13">
        <f t="shared" si="5"/>
        <v>5.5269120499999991</v>
      </c>
      <c r="BF6" s="13">
        <f t="shared" si="6"/>
        <v>6.9090909090909101</v>
      </c>
      <c r="BG6" s="13">
        <f t="shared" si="7"/>
        <v>43.712849849999998</v>
      </c>
      <c r="BH6" s="13"/>
      <c r="BI6" s="14"/>
      <c r="BJ6" s="14"/>
      <c r="BK6" s="23"/>
      <c r="BL6" s="13"/>
      <c r="BM6" s="14"/>
      <c r="BN6" s="23"/>
      <c r="BO6" s="23"/>
      <c r="BP6" s="13"/>
      <c r="BQ6" s="13"/>
      <c r="BR6" s="13"/>
    </row>
    <row r="7" spans="1:70" ht="15.75" thickBot="1" x14ac:dyDescent="0.3">
      <c r="A7" s="42">
        <v>1990</v>
      </c>
      <c r="B7" s="12">
        <f>SUMIF('EDU projections'!$B$37:$B$63,'1'!$A7,'EDU projections'!$D$37:$D$63)</f>
        <v>0.37</v>
      </c>
      <c r="C7" s="13">
        <f>SUMIF('EDU projections'!$B$64:$B$90,'1'!$A7,'EDU projections'!$D$64:$D$90)</f>
        <v>0.08</v>
      </c>
      <c r="D7" s="13">
        <f>SUMIF('EDU projections'!$B$91:$B$117,'1'!$A7,'EDU projections'!$D$91:$D$117)</f>
        <v>0.15</v>
      </c>
      <c r="E7" s="13">
        <f>SUMIF('EDU projections'!$B$118:$B$144,'1'!$A7,'EDU projections'!$D$118:$D$144)</f>
        <v>0.2</v>
      </c>
      <c r="F7" s="13">
        <f>SUMIF('EDU projections'!$B$145:$B$171,'1'!$A7,'EDU projections'!$D$145:$D$171)</f>
        <v>0.05</v>
      </c>
      <c r="G7" s="13">
        <f>SUMIF('EDU projections'!$B$172:$B$198,'1'!$A7,'EDU projections'!$D$172:$D$198)</f>
        <v>0.09</v>
      </c>
      <c r="H7" s="14">
        <f>SUMIF('EDU projections'!$B$199:$B$225,'1'!$A7,'EDU projections'!$D$199:$D$225)</f>
        <v>0.06</v>
      </c>
      <c r="I7" s="12">
        <f t="shared" si="8"/>
        <v>0.37</v>
      </c>
      <c r="J7" s="13">
        <f t="shared" si="9"/>
        <v>0.48</v>
      </c>
      <c r="K7" s="13">
        <f t="shared" si="10"/>
        <v>0.15</v>
      </c>
      <c r="L7" s="23">
        <f>SUMIF(Pop!$A$2:$A$58,'1'!A7,Pop!$B$2:$B$58)/1000</f>
        <v>33306.940999999999</v>
      </c>
      <c r="M7" s="44"/>
      <c r="N7" s="61">
        <f t="shared" si="11"/>
        <v>12.323568169999998</v>
      </c>
      <c r="O7" s="61">
        <f t="shared" si="3"/>
        <v>15.987331679999999</v>
      </c>
      <c r="P7" s="62">
        <f t="shared" si="3"/>
        <v>4.9960411499999999</v>
      </c>
      <c r="Q7" s="89">
        <f t="shared" si="12"/>
        <v>20.98337283</v>
      </c>
      <c r="R7" s="29">
        <f t="shared" si="13"/>
        <v>0.3125</v>
      </c>
      <c r="S7" s="12">
        <f>SUMIF(GDPcap!$A$182:$A$232,'1'!A7,GDPcap!$B$182:$B$232)</f>
        <v>4825.7426343417173</v>
      </c>
      <c r="T7" s="81">
        <f t="shared" si="14"/>
        <v>160.73072520320414</v>
      </c>
      <c r="U7" s="13"/>
      <c r="V7" s="13"/>
      <c r="W7" s="13"/>
      <c r="X7" s="14"/>
      <c r="Y7" s="12"/>
      <c r="Z7" s="13"/>
      <c r="AA7" s="13"/>
      <c r="AB7" s="14"/>
      <c r="AC7" s="12"/>
      <c r="AD7" s="13"/>
      <c r="AE7" s="13"/>
      <c r="AF7" s="14"/>
      <c r="AG7" s="12"/>
      <c r="AH7" s="13"/>
      <c r="AI7" s="13"/>
      <c r="AJ7" s="14"/>
      <c r="AV7" s="210"/>
      <c r="AW7" s="133">
        <v>2100</v>
      </c>
      <c r="AX7" s="236">
        <v>907995.53899999999</v>
      </c>
      <c r="AY7" s="236">
        <v>406.75621092</v>
      </c>
      <c r="AZ7" s="16"/>
      <c r="BA7" s="16"/>
      <c r="BB7" s="16"/>
      <c r="BC7" s="16"/>
      <c r="BD7" s="16">
        <f t="shared" si="4"/>
        <v>37.163216720000001</v>
      </c>
      <c r="BE7" s="16">
        <f t="shared" si="5"/>
        <v>2.2660498000000002</v>
      </c>
      <c r="BF7" s="16">
        <f t="shared" si="6"/>
        <v>16.399999999999999</v>
      </c>
      <c r="BG7" s="16">
        <f t="shared" si="7"/>
        <v>39.429266519999999</v>
      </c>
      <c r="BH7" s="16"/>
      <c r="BI7" s="17"/>
      <c r="BJ7" s="17"/>
      <c r="BK7" s="53"/>
      <c r="BL7" s="16"/>
      <c r="BM7" s="17"/>
      <c r="BN7" s="23"/>
      <c r="BO7" s="53"/>
      <c r="BP7" s="13"/>
      <c r="BQ7" s="13"/>
      <c r="BR7" s="13"/>
    </row>
    <row r="8" spans="1:70" x14ac:dyDescent="0.25">
      <c r="A8" s="42">
        <v>1995</v>
      </c>
      <c r="B8" s="12">
        <f>SUMIF('EDU projections'!$B$37:$B$63,'1'!$A8,'EDU projections'!$D$37:$D$63)</f>
        <v>0.35</v>
      </c>
      <c r="C8" s="13">
        <f>SUMIF('EDU projections'!$B$64:$B$90,'1'!$A8,'EDU projections'!$D$64:$D$90)</f>
        <v>7.0000000000000007E-2</v>
      </c>
      <c r="D8" s="13">
        <f>SUMIF('EDU projections'!$B$91:$B$117,'1'!$A8,'EDU projections'!$D$91:$D$117)</f>
        <v>0.14000000000000001</v>
      </c>
      <c r="E8" s="13">
        <f>SUMIF('EDU projections'!$B$118:$B$144,'1'!$A8,'EDU projections'!$D$118:$D$144)</f>
        <v>0.2</v>
      </c>
      <c r="F8" s="13">
        <f>SUMIF('EDU projections'!$B$145:$B$171,'1'!$A8,'EDU projections'!$D$145:$D$171)</f>
        <v>0.06</v>
      </c>
      <c r="G8" s="13">
        <f>SUMIF('EDU projections'!$B$172:$B$198,'1'!$A8,'EDU projections'!$D$172:$D$198)</f>
        <v>0.11</v>
      </c>
      <c r="H8" s="14">
        <f>SUMIF('EDU projections'!$B$199:$B$225,'1'!$A8,'EDU projections'!$D$199:$D$225)</f>
        <v>0.08</v>
      </c>
      <c r="I8" s="12">
        <f t="shared" si="8"/>
        <v>0.35</v>
      </c>
      <c r="J8" s="13">
        <f t="shared" si="9"/>
        <v>0.47000000000000003</v>
      </c>
      <c r="K8" s="13">
        <f t="shared" si="10"/>
        <v>0.19</v>
      </c>
      <c r="L8" s="23">
        <f>SUMIF(Pop!$A$2:$A$58,'1'!A8,Pop!$B$2:$B$58)/1000</f>
        <v>36573.894999999997</v>
      </c>
      <c r="M8" s="44"/>
      <c r="N8" s="61">
        <f t="shared" si="11"/>
        <v>12.800863249999999</v>
      </c>
      <c r="O8" s="61">
        <f t="shared" si="3"/>
        <v>17.189730650000001</v>
      </c>
      <c r="P8" s="62">
        <f t="shared" si="3"/>
        <v>6.9490400499999998</v>
      </c>
      <c r="Q8" s="89">
        <f t="shared" si="12"/>
        <v>24.138770700000002</v>
      </c>
      <c r="R8" s="29">
        <f t="shared" si="13"/>
        <v>0.40425531914893614</v>
      </c>
      <c r="S8" s="12">
        <f>SUMIF(GDPcap!$A$182:$A$232,'1'!A8,GDPcap!$B$182:$B$232)</f>
        <v>5469.7551026701058</v>
      </c>
      <c r="T8" s="81">
        <f t="shared" si="14"/>
        <v>200.05024880077065</v>
      </c>
      <c r="U8" s="13"/>
      <c r="V8" s="13"/>
      <c r="W8" s="13"/>
      <c r="X8" s="14"/>
      <c r="Y8" s="12"/>
      <c r="Z8" s="13"/>
      <c r="AA8" s="13"/>
      <c r="AB8" s="14"/>
      <c r="AC8" s="12"/>
      <c r="AD8" s="13"/>
      <c r="AE8" s="13"/>
      <c r="AF8" s="14"/>
      <c r="AG8" s="12"/>
      <c r="AH8" s="13"/>
      <c r="AI8" s="13"/>
      <c r="AJ8" s="14"/>
      <c r="AV8" s="208" t="s">
        <v>163</v>
      </c>
      <c r="AW8" s="131">
        <v>2000</v>
      </c>
      <c r="AX8" s="10"/>
      <c r="AY8" s="10"/>
      <c r="AZ8" s="10">
        <f>$Y$9</f>
        <v>20.222222222222221</v>
      </c>
      <c r="BA8" s="10">
        <f>$AC$9</f>
        <v>1.0031950617283951</v>
      </c>
      <c r="BB8" s="10">
        <f>$AG$9</f>
        <v>0.97721975308641995</v>
      </c>
      <c r="BC8" s="10">
        <f>BB8/BA8</f>
        <v>0.9741074197502303</v>
      </c>
      <c r="BD8" s="158">
        <v>7.95740947</v>
      </c>
      <c r="BE8" s="158">
        <v>18.772590529999999</v>
      </c>
      <c r="BF8" s="10">
        <f t="shared" si="6"/>
        <v>0.42388446374960698</v>
      </c>
      <c r="BG8" s="10">
        <f t="shared" si="7"/>
        <v>26.729999999999997</v>
      </c>
      <c r="BH8" s="237">
        <v>8.6061144200000008</v>
      </c>
      <c r="BI8" s="11"/>
      <c r="BJ8" s="11">
        <v>20.387873809999999</v>
      </c>
      <c r="BK8" s="27"/>
      <c r="BL8" s="237">
        <v>20.387873809999999</v>
      </c>
      <c r="BM8" s="11"/>
      <c r="BN8" s="27"/>
      <c r="BO8" s="27"/>
      <c r="BP8" s="13"/>
      <c r="BQ8" s="13"/>
      <c r="BR8" s="13"/>
    </row>
    <row r="9" spans="1:70" s="77" customFormat="1" x14ac:dyDescent="0.25">
      <c r="A9" s="69">
        <v>2000</v>
      </c>
      <c r="B9" s="70">
        <f>SUMIF('EDU projections'!$B$37:$B$63,'1'!$A9,'EDU projections'!$D$37:$D$63)</f>
        <v>0.33</v>
      </c>
      <c r="C9" s="71">
        <f>SUMIF('EDU projections'!$B$64:$B$90,'1'!$A9,'EDU projections'!$D$64:$D$90)</f>
        <v>0.06</v>
      </c>
      <c r="D9" s="71">
        <f>SUMIF('EDU projections'!$B$91:$B$117,'1'!$A9,'EDU projections'!$D$91:$D$117)</f>
        <v>0.13</v>
      </c>
      <c r="E9" s="71">
        <f>SUMIF('EDU projections'!$B$118:$B$144,'1'!$A9,'EDU projections'!$D$118:$D$144)</f>
        <v>0.2</v>
      </c>
      <c r="F9" s="71">
        <f>SUMIF('EDU projections'!$B$145:$B$171,'1'!$A9,'EDU projections'!$D$145:$D$171)</f>
        <v>0.06</v>
      </c>
      <c r="G9" s="71">
        <f>SUMIF('EDU projections'!$B$172:$B$198,'1'!$A9,'EDU projections'!$D$172:$D$198)</f>
        <v>0.13</v>
      </c>
      <c r="H9" s="72">
        <f>SUMIF('EDU projections'!$B$199:$B$225,'1'!$A9,'EDU projections'!$D$199:$D$225)</f>
        <v>0.09</v>
      </c>
      <c r="I9" s="70">
        <f t="shared" si="8"/>
        <v>0.33</v>
      </c>
      <c r="J9" s="71">
        <f t="shared" si="9"/>
        <v>0.45</v>
      </c>
      <c r="K9" s="71">
        <f t="shared" si="10"/>
        <v>0.22</v>
      </c>
      <c r="L9" s="73">
        <f>SUMIF(Pop!$A$2:$A$58,'1'!A9,Pop!$B$2:$B$58)/1000</f>
        <v>39897.983999999997</v>
      </c>
      <c r="M9" s="74">
        <f>(L9-L5)/L5</f>
        <v>0.48129162236025774</v>
      </c>
      <c r="N9" s="85">
        <f t="shared" si="11"/>
        <v>13.166334719999998</v>
      </c>
      <c r="O9" s="172">
        <f t="shared" si="3"/>
        <v>17.954092799999998</v>
      </c>
      <c r="P9" s="173">
        <f t="shared" si="3"/>
        <v>8.7775564799999994</v>
      </c>
      <c r="Q9" s="95">
        <f t="shared" si="12"/>
        <v>26.731649279999999</v>
      </c>
      <c r="R9" s="177">
        <f t="shared" si="13"/>
        <v>0.48888888888888893</v>
      </c>
      <c r="S9" s="70">
        <f>SUMIF(GDPcap!$A$182:$A$232,'1'!A9,GDPcap!$B$182:$B$232)</f>
        <v>5375.205430658656</v>
      </c>
      <c r="T9" s="82">
        <f t="shared" si="14"/>
        <v>214.45986026913215</v>
      </c>
      <c r="U9" s="75">
        <f>RCP!F2</f>
        <v>881.61855719999994</v>
      </c>
      <c r="V9" s="75">
        <f>RCP!F3</f>
        <v>881.61855719999994</v>
      </c>
      <c r="W9" s="75">
        <f>RCP!F4</f>
        <v>881.61855719999994</v>
      </c>
      <c r="X9" s="76">
        <f>RCP!F5</f>
        <v>881.61855719999994</v>
      </c>
      <c r="Y9" s="70">
        <f t="shared" ref="Y9:AB11" si="15">$Z$5+$AB$3*(U9-U$9)^$AB$4*(1-$AB$5*$Z$5)</f>
        <v>20.222222222222221</v>
      </c>
      <c r="Z9" s="71">
        <f t="shared" si="15"/>
        <v>20.222222222222221</v>
      </c>
      <c r="AA9" s="71">
        <f t="shared" si="15"/>
        <v>20.222222222222221</v>
      </c>
      <c r="AB9" s="72">
        <f t="shared" si="15"/>
        <v>20.222222222222221</v>
      </c>
      <c r="AC9" s="70">
        <f>MAX(0.001, $AD$3+$AD$4*Y9+$AD$5*Y9^2)</f>
        <v>1.0031950617283951</v>
      </c>
      <c r="AD9" s="71">
        <f t="shared" ref="AD9:AF11" si="16">MAX(0.001, $AD$3+$AD$4*Z9+$AD$5*Z9^2)</f>
        <v>1.0031950617283951</v>
      </c>
      <c r="AE9" s="71">
        <f t="shared" si="16"/>
        <v>1.0031950617283951</v>
      </c>
      <c r="AF9" s="72">
        <f t="shared" si="16"/>
        <v>1.0031950617283951</v>
      </c>
      <c r="AG9" s="70">
        <f>MAX(0.001, $AH$3+$AH$4*Y9+$AH$5*Y9^2)</f>
        <v>0.97721975308641995</v>
      </c>
      <c r="AH9" s="71">
        <f t="shared" ref="AH9:AJ29" si="17">MAX(0.001, $AH$3+$AH$4*Z9+$AH$5*Z9^2)</f>
        <v>0.97721975308641995</v>
      </c>
      <c r="AI9" s="71">
        <f t="shared" si="17"/>
        <v>0.97721975308641995</v>
      </c>
      <c r="AJ9" s="72">
        <f t="shared" si="17"/>
        <v>0.97721975308641995</v>
      </c>
      <c r="AV9" s="209"/>
      <c r="AW9" s="132">
        <v>2020</v>
      </c>
      <c r="AX9" s="148"/>
      <c r="AY9" s="148"/>
      <c r="AZ9" s="148">
        <f t="shared" ref="AZ9:AZ13" si="18">$Y$9</f>
        <v>20.222222222222221</v>
      </c>
      <c r="BA9" s="148">
        <f t="shared" ref="BA9:BA13" si="19">$AC$9</f>
        <v>1.0031950617283951</v>
      </c>
      <c r="BB9" s="148">
        <f t="shared" ref="BB9:BB13" si="20">$AG$9</f>
        <v>0.97721975308641995</v>
      </c>
      <c r="BC9" s="148">
        <f t="shared" ref="BC9:BC13" si="21">BB9/BA9</f>
        <v>0.9741074197502303</v>
      </c>
      <c r="BD9" s="159">
        <v>17.134755330000001</v>
      </c>
      <c r="BE9" s="159">
        <v>19.458579740000001</v>
      </c>
      <c r="BF9" s="148">
        <f t="shared" si="6"/>
        <v>0.8805758466933209</v>
      </c>
      <c r="BG9" s="148">
        <f t="shared" si="7"/>
        <v>36.593335070000002</v>
      </c>
      <c r="BH9" s="238">
        <v>23.356227180000001</v>
      </c>
      <c r="BI9" s="149"/>
      <c r="BJ9" s="149">
        <v>50.122344679999998</v>
      </c>
      <c r="BK9" s="189"/>
      <c r="BL9" s="238">
        <v>50.122344679999998</v>
      </c>
      <c r="BM9" s="149"/>
      <c r="BN9" s="189"/>
      <c r="BO9" s="189"/>
      <c r="BP9" s="148"/>
      <c r="BQ9" s="148"/>
      <c r="BR9" s="148"/>
    </row>
    <row r="10" spans="1:70" x14ac:dyDescent="0.25">
      <c r="A10" s="42">
        <v>2005</v>
      </c>
      <c r="B10" s="12">
        <f>SUMIF('EDU projections'!$B$37:$B$63,'1'!$A10,'EDU projections'!$D$37:$D$63)</f>
        <v>0.31</v>
      </c>
      <c r="C10" s="13">
        <f>SUMIF('EDU projections'!$B$64:$B$90,'1'!$A10,'EDU projections'!$D$64:$D$90)</f>
        <v>0.05</v>
      </c>
      <c r="D10" s="13">
        <f>SUMIF('EDU projections'!$B$91:$B$117,'1'!$A10,'EDU projections'!$D$91:$D$117)</f>
        <v>0.12</v>
      </c>
      <c r="E10" s="13">
        <f>SUMIF('EDU projections'!$B$118:$B$144,'1'!$A10,'EDU projections'!$D$118:$D$144)</f>
        <v>0.2</v>
      </c>
      <c r="F10" s="13">
        <f>SUMIF('EDU projections'!$B$145:$B$171,'1'!$A10,'EDU projections'!$D$145:$D$171)</f>
        <v>7.0000000000000007E-2</v>
      </c>
      <c r="G10" s="13">
        <f>SUMIF('EDU projections'!$B$172:$B$198,'1'!$A10,'EDU projections'!$D$172:$D$198)</f>
        <v>0.15</v>
      </c>
      <c r="H10" s="14">
        <f>SUMIF('EDU projections'!$B$199:$B$225,'1'!$A10,'EDU projections'!$D$199:$D$225)</f>
        <v>0.1</v>
      </c>
      <c r="I10" s="12">
        <f t="shared" si="8"/>
        <v>0.31</v>
      </c>
      <c r="J10" s="13">
        <f t="shared" si="9"/>
        <v>0.44</v>
      </c>
      <c r="K10" s="13">
        <f t="shared" si="10"/>
        <v>0.25</v>
      </c>
      <c r="L10" s="23">
        <f>SUMIF(Pop!$A$2:$A$58,'1'!A10,Pop!$B$2:$B$58)/1000</f>
        <v>43184.025999999998</v>
      </c>
      <c r="M10" s="44"/>
      <c r="N10" s="61">
        <f t="shared" si="11"/>
        <v>13.38704806</v>
      </c>
      <c r="O10" s="61">
        <f t="shared" si="3"/>
        <v>19.000971439999997</v>
      </c>
      <c r="P10" s="62">
        <f t="shared" si="3"/>
        <v>10.796006499999999</v>
      </c>
      <c r="Q10" s="89">
        <f t="shared" si="12"/>
        <v>29.796977939999998</v>
      </c>
      <c r="R10" s="29">
        <f t="shared" si="13"/>
        <v>0.56818181818181823</v>
      </c>
      <c r="S10" s="12">
        <f>SUMIF(GDPcap!$A$182:$A$232,'1'!A10,GDPcap!$B$182:$B$232)</f>
        <v>6021.9563021852782</v>
      </c>
      <c r="T10" s="81">
        <f t="shared" si="14"/>
        <v>260.05231752443291</v>
      </c>
      <c r="U10" s="25">
        <f>RCP!G2</f>
        <v>908.74516560000006</v>
      </c>
      <c r="V10" s="25">
        <f>RCP!G3</f>
        <v>908.74516560000006</v>
      </c>
      <c r="W10" s="25">
        <f>RCP!G4</f>
        <v>908.74516560000006</v>
      </c>
      <c r="X10" s="26">
        <f>RCP!G5</f>
        <v>908.74516560000006</v>
      </c>
      <c r="Y10" s="12">
        <f t="shared" si="15"/>
        <v>20.789561164495755</v>
      </c>
      <c r="Z10" s="13">
        <f t="shared" si="15"/>
        <v>20.789561164495755</v>
      </c>
      <c r="AA10" s="13">
        <f t="shared" si="15"/>
        <v>20.789561164495755</v>
      </c>
      <c r="AB10" s="14">
        <f t="shared" si="15"/>
        <v>20.789561164495755</v>
      </c>
      <c r="AC10" s="12">
        <f t="shared" ref="AC10:AC11" si="22">MAX(0.001, $AD$3+$AD$4*Y10+$AD$5*Y10^2)</f>
        <v>1.0080821087548291</v>
      </c>
      <c r="AD10" s="13">
        <f t="shared" si="16"/>
        <v>1.0080821087548291</v>
      </c>
      <c r="AE10" s="13">
        <f t="shared" si="16"/>
        <v>1.0080821087548291</v>
      </c>
      <c r="AF10" s="14">
        <f t="shared" si="16"/>
        <v>1.0080821087548291</v>
      </c>
      <c r="AG10" s="12">
        <f t="shared" ref="AG10:AG29" si="23">MAX(0.001, $AH$3+$AH$4*Y10+$AH$5*Y10^2)</f>
        <v>0.96909143031134715</v>
      </c>
      <c r="AH10" s="13">
        <f t="shared" si="17"/>
        <v>0.96909143031134715</v>
      </c>
      <c r="AI10" s="13">
        <f t="shared" si="17"/>
        <v>0.96909143031134715</v>
      </c>
      <c r="AJ10" s="14">
        <f t="shared" si="17"/>
        <v>0.96909143031134715</v>
      </c>
      <c r="AV10" s="209"/>
      <c r="AW10" s="132">
        <v>2040</v>
      </c>
      <c r="AX10" s="13"/>
      <c r="AY10" s="13"/>
      <c r="AZ10" s="13">
        <f t="shared" si="18"/>
        <v>20.222222222222221</v>
      </c>
      <c r="BA10" s="13">
        <f t="shared" si="19"/>
        <v>1.0031950617283951</v>
      </c>
      <c r="BB10" s="13">
        <f t="shared" si="20"/>
        <v>0.97721975308641995</v>
      </c>
      <c r="BC10" s="13">
        <f t="shared" si="21"/>
        <v>0.9741074197502303</v>
      </c>
      <c r="BD10" s="156">
        <v>27.113838600000001</v>
      </c>
      <c r="BE10" s="156">
        <v>14.82193717</v>
      </c>
      <c r="BF10" s="13">
        <f t="shared" si="6"/>
        <v>1.8293046508710846</v>
      </c>
      <c r="BG10" s="13">
        <f t="shared" si="7"/>
        <v>41.935775769999999</v>
      </c>
      <c r="BH10" s="239">
        <v>52.425969369999997</v>
      </c>
      <c r="BI10" s="14"/>
      <c r="BJ10" s="14">
        <v>105.47314607</v>
      </c>
      <c r="BK10" s="23"/>
      <c r="BL10" s="239">
        <v>105.47314607</v>
      </c>
      <c r="BM10" s="14"/>
      <c r="BN10" s="23"/>
      <c r="BO10" s="23"/>
      <c r="BP10" s="13"/>
      <c r="BQ10" s="13"/>
      <c r="BR10" s="13"/>
    </row>
    <row r="11" spans="1:70" x14ac:dyDescent="0.25">
      <c r="A11" s="42">
        <v>2010</v>
      </c>
      <c r="B11" s="12">
        <f>SUMIF('EDU projections'!$B$37:$B$63,'1'!$A11,'EDU projections'!$D$37:$D$63)</f>
        <v>0.28999999999999998</v>
      </c>
      <c r="C11" s="13">
        <f>SUMIF('EDU projections'!$B$64:$B$90,'1'!$A11,'EDU projections'!$D$64:$D$90)</f>
        <v>0.05</v>
      </c>
      <c r="D11" s="13">
        <f>SUMIF('EDU projections'!$B$91:$B$117,'1'!$A11,'EDU projections'!$D$91:$D$117)</f>
        <v>0.11</v>
      </c>
      <c r="E11" s="13">
        <f>SUMIF('EDU projections'!$B$118:$B$144,'1'!$A11,'EDU projections'!$D$118:$D$144)</f>
        <v>0.19</v>
      </c>
      <c r="F11" s="13">
        <f>SUMIF('EDU projections'!$B$145:$B$171,'1'!$A11,'EDU projections'!$D$145:$D$171)</f>
        <v>0.08</v>
      </c>
      <c r="G11" s="13">
        <f>SUMIF('EDU projections'!$B$172:$B$198,'1'!$A11,'EDU projections'!$D$172:$D$198)</f>
        <v>0.17</v>
      </c>
      <c r="H11" s="14">
        <f>SUMIF('EDU projections'!$B$199:$B$225,'1'!$A11,'EDU projections'!$D$199:$D$225)</f>
        <v>0.12</v>
      </c>
      <c r="I11" s="12">
        <f t="shared" si="8"/>
        <v>0.28999999999999998</v>
      </c>
      <c r="J11" s="13">
        <f t="shared" si="9"/>
        <v>0.43</v>
      </c>
      <c r="K11" s="13">
        <f t="shared" si="10"/>
        <v>0.29000000000000004</v>
      </c>
      <c r="L11" s="23">
        <f>SUMIF(Pop!$A$2:$A$58,'1'!A11,Pop!$B$2:$B$58)/1000</f>
        <v>46444.798000000003</v>
      </c>
      <c r="M11" s="44"/>
      <c r="N11" s="61">
        <f t="shared" si="11"/>
        <v>13.46899142</v>
      </c>
      <c r="O11" s="61">
        <f t="shared" si="3"/>
        <v>19.971263139999998</v>
      </c>
      <c r="P11" s="62">
        <f t="shared" si="3"/>
        <v>13.468991420000002</v>
      </c>
      <c r="Q11" s="89">
        <f t="shared" si="12"/>
        <v>33.44025456</v>
      </c>
      <c r="R11" s="29">
        <f t="shared" si="13"/>
        <v>0.67441860465116299</v>
      </c>
      <c r="S11" s="12">
        <f>SUMIF(GDPcap!$A$182:$A$232,'1'!A11,GDPcap!$B$182:$B$232)</f>
        <v>7062.5047068853282</v>
      </c>
      <c r="T11" s="81">
        <f t="shared" si="14"/>
        <v>328.01660448533829</v>
      </c>
      <c r="U11" s="25">
        <f>RCP!H2</f>
        <v>938.65317159999995</v>
      </c>
      <c r="V11" s="25">
        <f>RCP!H3</f>
        <v>937.78823280000006</v>
      </c>
      <c r="W11" s="25">
        <f>RCP!H4</f>
        <v>937.84532439999998</v>
      </c>
      <c r="X11" s="26">
        <f>RCP!H5</f>
        <v>939.2982452</v>
      </c>
      <c r="Y11" s="12">
        <f t="shared" si="15"/>
        <v>21.044870325154587</v>
      </c>
      <c r="Z11" s="13">
        <f t="shared" si="15"/>
        <v>21.038608701609672</v>
      </c>
      <c r="AA11" s="13">
        <f t="shared" si="15"/>
        <v>21.039023489236548</v>
      </c>
      <c r="AB11" s="14">
        <f t="shared" si="15"/>
        <v>21.049509407150975</v>
      </c>
      <c r="AC11" s="12">
        <f t="shared" si="22"/>
        <v>1.0087481210288365</v>
      </c>
      <c r="AD11" s="13">
        <f t="shared" si="16"/>
        <v>1.0087431705698209</v>
      </c>
      <c r="AE11" s="13">
        <f t="shared" si="16"/>
        <v>1.0087435162061316</v>
      </c>
      <c r="AF11" s="14">
        <f t="shared" si="16"/>
        <v>1.0087514195458174</v>
      </c>
      <c r="AG11" s="12">
        <f t="shared" si="23"/>
        <v>0.96495052190645114</v>
      </c>
      <c r="AH11" s="13">
        <f t="shared" si="17"/>
        <v>0.96505566710004764</v>
      </c>
      <c r="AI11" s="13">
        <f t="shared" si="17"/>
        <v>0.9650487075634353</v>
      </c>
      <c r="AJ11" s="14">
        <f t="shared" si="17"/>
        <v>0.96487250612408215</v>
      </c>
      <c r="AV11" s="209"/>
      <c r="AW11" s="132">
        <v>2060</v>
      </c>
      <c r="AX11" s="13"/>
      <c r="AY11" s="13"/>
      <c r="AZ11" s="13">
        <f t="shared" si="18"/>
        <v>20.222222222222221</v>
      </c>
      <c r="BA11" s="13">
        <f t="shared" si="19"/>
        <v>1.0031950617283951</v>
      </c>
      <c r="BB11" s="13">
        <f t="shared" si="20"/>
        <v>0.97721975308641995</v>
      </c>
      <c r="BC11" s="13">
        <f t="shared" si="21"/>
        <v>0.9741074197502303</v>
      </c>
      <c r="BD11" s="156">
        <v>33.592890099999998</v>
      </c>
      <c r="BE11" s="156">
        <v>8.8397922900000001</v>
      </c>
      <c r="BF11" s="13">
        <f t="shared" si="6"/>
        <v>3.8001899816132441</v>
      </c>
      <c r="BG11" s="13">
        <f t="shared" si="7"/>
        <v>42.432682389999997</v>
      </c>
      <c r="BH11" s="239">
        <v>100.19537742999999</v>
      </c>
      <c r="BI11" s="14"/>
      <c r="BJ11" s="14">
        <v>194.29889818000001</v>
      </c>
      <c r="BK11" s="23"/>
      <c r="BL11" s="239">
        <v>194.29889818000001</v>
      </c>
      <c r="BM11" s="14"/>
      <c r="BN11" s="23"/>
      <c r="BO11" s="23"/>
      <c r="BP11" s="13"/>
      <c r="BQ11" s="13"/>
      <c r="BR11" s="13"/>
    </row>
    <row r="12" spans="1:70" x14ac:dyDescent="0.25">
      <c r="A12" s="42">
        <v>2015</v>
      </c>
      <c r="B12" s="12">
        <f>SUMIF('EDU projections'!$B$37:$B$63,'1'!$A12,'EDU projections'!$D$37:$D$63)</f>
        <v>0.27</v>
      </c>
      <c r="C12" s="13">
        <f>SUMIF('EDU projections'!$B$64:$B$90,'1'!$A12,'EDU projections'!$D$64:$D$90)</f>
        <v>0.04</v>
      </c>
      <c r="D12" s="13">
        <f>SUMIF('EDU projections'!$B$91:$B$117,'1'!$A12,'EDU projections'!$D$91:$D$117)</f>
        <v>0.1</v>
      </c>
      <c r="E12" s="13">
        <f>SUMIF('EDU projections'!$B$118:$B$144,'1'!$A12,'EDU projections'!$D$118:$D$144)</f>
        <v>0.19</v>
      </c>
      <c r="F12" s="13">
        <f>SUMIF('EDU projections'!$B$145:$B$171,'1'!$A12,'EDU projections'!$D$145:$D$171)</f>
        <v>7.0000000000000007E-2</v>
      </c>
      <c r="G12" s="13">
        <f>SUMIF('EDU projections'!$B$172:$B$198,'1'!$A12,'EDU projections'!$D$172:$D$198)</f>
        <v>0.2</v>
      </c>
      <c r="H12" s="14">
        <f>SUMIF('EDU projections'!$B$199:$B$225,'1'!$A12,'EDU projections'!$D$199:$D$225)</f>
        <v>0.13</v>
      </c>
      <c r="I12" s="12">
        <f t="shared" si="8"/>
        <v>0.27</v>
      </c>
      <c r="J12" s="13">
        <f t="shared" si="9"/>
        <v>0.4</v>
      </c>
      <c r="K12" s="13">
        <f t="shared" si="10"/>
        <v>0.33</v>
      </c>
      <c r="L12" s="24">
        <f>SUMIF(UN!$A$10:'UN'!$A$95,A12,UN!$B$10:'UN'!$B$95)</f>
        <v>48228.703999999998</v>
      </c>
      <c r="M12" s="44"/>
      <c r="N12" s="61">
        <f t="shared" si="11"/>
        <v>13.02175008</v>
      </c>
      <c r="O12" s="61">
        <f t="shared" si="3"/>
        <v>19.291481600000001</v>
      </c>
      <c r="P12" s="62">
        <f t="shared" si="3"/>
        <v>15.915472320000001</v>
      </c>
      <c r="Q12" s="89">
        <f t="shared" si="12"/>
        <v>35.206953920000004</v>
      </c>
      <c r="R12" s="29">
        <f t="shared" si="13"/>
        <v>0.82500000000000007</v>
      </c>
      <c r="S12" s="12"/>
      <c r="T12" s="23"/>
      <c r="U12" s="25"/>
      <c r="V12" s="25"/>
      <c r="W12" s="25"/>
      <c r="X12" s="26"/>
      <c r="Y12" s="12"/>
      <c r="Z12" s="13"/>
      <c r="AA12" s="13"/>
      <c r="AB12" s="14"/>
      <c r="AC12" s="12"/>
      <c r="AD12" s="13"/>
      <c r="AE12" s="13"/>
      <c r="AF12" s="14"/>
      <c r="AG12" s="12"/>
      <c r="AH12" s="13"/>
      <c r="AI12" s="13"/>
      <c r="AJ12" s="14"/>
      <c r="AV12" s="209"/>
      <c r="AW12" s="132">
        <v>2080</v>
      </c>
      <c r="AX12" s="13"/>
      <c r="AY12" s="13"/>
      <c r="AZ12" s="13">
        <f t="shared" si="18"/>
        <v>20.222222222222221</v>
      </c>
      <c r="BA12" s="13">
        <f t="shared" si="19"/>
        <v>1.0031950617283951</v>
      </c>
      <c r="BB12" s="13">
        <f t="shared" si="20"/>
        <v>0.97721975308641995</v>
      </c>
      <c r="BC12" s="13">
        <f t="shared" si="21"/>
        <v>0.9741074197502303</v>
      </c>
      <c r="BD12" s="156">
        <v>35.372174370000003</v>
      </c>
      <c r="BE12" s="156">
        <v>4.48061036</v>
      </c>
      <c r="BF12" s="13">
        <f t="shared" si="6"/>
        <v>7.894499081147508</v>
      </c>
      <c r="BG12" s="13">
        <f t="shared" si="7"/>
        <v>39.852784730000003</v>
      </c>
      <c r="BH12" s="239">
        <v>171.20509221</v>
      </c>
      <c r="BI12" s="14"/>
      <c r="BJ12" s="14">
        <v>325.64610765999998</v>
      </c>
      <c r="BK12" s="23"/>
      <c r="BL12" s="239">
        <v>325.64610765999998</v>
      </c>
      <c r="BM12" s="14"/>
      <c r="BN12" s="23"/>
      <c r="BO12" s="23"/>
      <c r="BP12" s="13"/>
      <c r="BQ12" s="13"/>
      <c r="BR12" s="13"/>
    </row>
    <row r="13" spans="1:70" ht="15.75" thickBot="1" x14ac:dyDescent="0.3">
      <c r="A13" s="42">
        <v>2020</v>
      </c>
      <c r="B13" s="12">
        <f>SUMIF('EDU projections'!$B$37:$B$63,'1'!$A13,'EDU projections'!$D$37:$D$63)</f>
        <v>0.25</v>
      </c>
      <c r="C13" s="13">
        <f>SUMIF('EDU projections'!$B$64:$B$90,'1'!$A13,'EDU projections'!$D$64:$D$90)</f>
        <v>0.04</v>
      </c>
      <c r="D13" s="13">
        <f>SUMIF('EDU projections'!$B$91:$B$117,'1'!$A13,'EDU projections'!$D$91:$D$117)</f>
        <v>0.09</v>
      </c>
      <c r="E13" s="13">
        <f>SUMIF('EDU projections'!$B$118:$B$144,'1'!$A13,'EDU projections'!$D$118:$D$144)</f>
        <v>0.18</v>
      </c>
      <c r="F13" s="13">
        <f>SUMIF('EDU projections'!$B$145:$B$171,'1'!$A13,'EDU projections'!$D$145:$D$171)</f>
        <v>0.08</v>
      </c>
      <c r="G13" s="13">
        <f>SUMIF('EDU projections'!$B$172:$B$198,'1'!$A13,'EDU projections'!$D$172:$D$198)</f>
        <v>0.22</v>
      </c>
      <c r="H13" s="14">
        <f>SUMIF('EDU projections'!$B$199:$B$225,'1'!$A13,'EDU projections'!$D$199:$D$225)</f>
        <v>0.15</v>
      </c>
      <c r="I13" s="12">
        <f t="shared" si="8"/>
        <v>0.25</v>
      </c>
      <c r="J13" s="13">
        <f t="shared" si="9"/>
        <v>0.39</v>
      </c>
      <c r="K13" s="13">
        <f t="shared" si="10"/>
        <v>0.37</v>
      </c>
      <c r="L13" s="24">
        <f>SUMIF(UN!$A$10:'UN'!$A$95,A13,UN!$B$10:'UN'!$B$95)</f>
        <v>50228.928</v>
      </c>
      <c r="M13" s="45">
        <f>(L13-L9)/L9</f>
        <v>0.25893398523594585</v>
      </c>
      <c r="N13" s="61">
        <f t="shared" si="11"/>
        <v>12.557232000000001</v>
      </c>
      <c r="O13" s="61">
        <f t="shared" si="3"/>
        <v>19.589281920000001</v>
      </c>
      <c r="P13" s="62">
        <f t="shared" si="3"/>
        <v>18.584703359999999</v>
      </c>
      <c r="Q13" s="96">
        <f t="shared" si="12"/>
        <v>38.173985279999997</v>
      </c>
      <c r="R13" s="175">
        <f t="shared" si="13"/>
        <v>0.94871794871794857</v>
      </c>
      <c r="S13" s="12"/>
      <c r="T13" s="23"/>
      <c r="U13" s="63">
        <f>RCP!I2</f>
        <v>998.13992640000004</v>
      </c>
      <c r="V13" s="63">
        <f>RCP!I3</f>
        <v>1000.5514476000001</v>
      </c>
      <c r="W13" s="63">
        <f>RCP!I4</f>
        <v>994.96747360000006</v>
      </c>
      <c r="X13" s="64">
        <f>RCP!J4</f>
        <v>1049.3453252000002</v>
      </c>
      <c r="Y13" s="12">
        <f>$Z$5+$AB$3*(U13-U$9)^$AB$4*(1-$AB$5*$Z$5)</f>
        <v>21.398060611973996</v>
      </c>
      <c r="Z13" s="13">
        <f>$Z$5+$AB$3*(V13-V$9)^$AB$4*(1-$AB$5*$Z$5)</f>
        <v>21.410165850491644</v>
      </c>
      <c r="AA13" s="13">
        <f>$Z$5+$AB$3*(W13-W$9)^$AB$4*(1-$AB$5*$Z$5)</f>
        <v>21.381943250723296</v>
      </c>
      <c r="AB13" s="14">
        <f>$Z$5+$AB$3*(X13-X$9)^$AB$4*(1-$AB$5*$Z$5)</f>
        <v>21.632959150720318</v>
      </c>
      <c r="AC13" s="142">
        <f t="shared" ref="AC13:AF13" si="24">MAX(0.001, $AD$3+$AD$4*Y13+$AD$5*Y13^2)</f>
        <v>1.008100583425886</v>
      </c>
      <c r="AD13" s="143">
        <f t="shared" si="24"/>
        <v>1.0080461092088484</v>
      </c>
      <c r="AE13" s="143">
        <f t="shared" si="24"/>
        <v>1.0081697918295691</v>
      </c>
      <c r="AF13" s="144">
        <f t="shared" si="24"/>
        <v>1.0066614906196998</v>
      </c>
      <c r="AG13" s="142">
        <f t="shared" si="23"/>
        <v>0.95872775366437968</v>
      </c>
      <c r="AH13" s="143">
        <f t="shared" si="17"/>
        <v>0.95850430402454689</v>
      </c>
      <c r="AI13" s="143">
        <f t="shared" si="17"/>
        <v>0.95902421655041503</v>
      </c>
      <c r="AJ13" s="144">
        <f t="shared" si="17"/>
        <v>0.95427141233913759</v>
      </c>
      <c r="AV13" s="210"/>
      <c r="AW13" s="133">
        <v>2100</v>
      </c>
      <c r="AX13" s="16"/>
      <c r="AY13" s="16"/>
      <c r="AZ13" s="16">
        <f t="shared" si="18"/>
        <v>20.222222222222221</v>
      </c>
      <c r="BA13" s="16">
        <f t="shared" si="19"/>
        <v>1.0031950617283951</v>
      </c>
      <c r="BB13" s="16">
        <f t="shared" si="20"/>
        <v>0.97721975308641995</v>
      </c>
      <c r="BC13" s="16">
        <f t="shared" si="21"/>
        <v>0.9741074197502303</v>
      </c>
      <c r="BD13" s="157">
        <v>33.884356609999998</v>
      </c>
      <c r="BE13" s="157">
        <v>2.0661193099999999</v>
      </c>
      <c r="BF13" s="16">
        <f t="shared" si="6"/>
        <v>16.399999964184062</v>
      </c>
      <c r="BG13" s="16">
        <f t="shared" si="7"/>
        <v>35.950475919999995</v>
      </c>
      <c r="BH13" s="240">
        <v>0</v>
      </c>
      <c r="BI13" s="17"/>
      <c r="BJ13" s="17">
        <v>515.35407185999998</v>
      </c>
      <c r="BK13" s="53"/>
      <c r="BL13" s="240">
        <v>515.35407185999998</v>
      </c>
      <c r="BM13" s="17"/>
      <c r="BN13" s="53"/>
      <c r="BO13" s="53"/>
      <c r="BP13" s="13"/>
      <c r="BQ13" s="13"/>
      <c r="BR13" s="13"/>
    </row>
    <row r="14" spans="1:70" x14ac:dyDescent="0.25">
      <c r="A14" s="42">
        <v>2025</v>
      </c>
      <c r="B14" s="12">
        <f>SUMIF('EDU projections'!$B$37:$B$63,'1'!$A14,'EDU projections'!$D$37:$D$63)</f>
        <v>0.23</v>
      </c>
      <c r="C14" s="13">
        <f>SUMIF('EDU projections'!$B$64:$B$90,'1'!$A14,'EDU projections'!$D$64:$D$90)</f>
        <v>0.03</v>
      </c>
      <c r="D14" s="13">
        <f>SUMIF('EDU projections'!$B$91:$B$117,'1'!$A14,'EDU projections'!$D$91:$D$117)</f>
        <v>0.08</v>
      </c>
      <c r="E14" s="13">
        <f>SUMIF('EDU projections'!$B$118:$B$144,'1'!$A14,'EDU projections'!$D$118:$D$144)</f>
        <v>0.17</v>
      </c>
      <c r="F14" s="13">
        <f>SUMIF('EDU projections'!$B$145:$B$171,'1'!$A14,'EDU projections'!$D$145:$D$171)</f>
        <v>0.08</v>
      </c>
      <c r="G14" s="13">
        <f>SUMIF('EDU projections'!$B$172:$B$198,'1'!$A14,'EDU projections'!$D$172:$D$198)</f>
        <v>0.24</v>
      </c>
      <c r="H14" s="14">
        <f>SUMIF('EDU projections'!$B$199:$B$225,'1'!$A14,'EDU projections'!$D$199:$D$225)</f>
        <v>0.17</v>
      </c>
      <c r="I14" s="12">
        <f t="shared" si="8"/>
        <v>0.23</v>
      </c>
      <c r="J14" s="13">
        <f t="shared" si="9"/>
        <v>0.36000000000000004</v>
      </c>
      <c r="K14" s="13">
        <f t="shared" si="10"/>
        <v>0.41000000000000003</v>
      </c>
      <c r="L14" s="24">
        <f>SUMIF(UN!$A$10:'UN'!$A$95,A14,UN!$B$10:'UN'!$B$95)</f>
        <v>51877.661</v>
      </c>
      <c r="M14" s="44"/>
      <c r="N14" s="61">
        <f t="shared" si="11"/>
        <v>11.93186203</v>
      </c>
      <c r="O14" s="61">
        <f t="shared" si="3"/>
        <v>18.675957960000002</v>
      </c>
      <c r="P14" s="62">
        <f t="shared" si="3"/>
        <v>21.26984101</v>
      </c>
      <c r="Q14" s="89">
        <f t="shared" si="12"/>
        <v>39.945798969999998</v>
      </c>
      <c r="R14" s="29">
        <f t="shared" si="13"/>
        <v>1.1388888888888888</v>
      </c>
      <c r="S14" s="12"/>
      <c r="T14" s="23"/>
      <c r="U14" s="25"/>
      <c r="V14" s="25"/>
      <c r="W14" s="25"/>
      <c r="X14" s="26"/>
      <c r="Y14" s="12"/>
      <c r="Z14" s="13"/>
      <c r="AA14" s="13"/>
      <c r="AB14" s="14"/>
      <c r="AC14" s="12"/>
      <c r="AD14" s="13"/>
      <c r="AE14" s="13"/>
      <c r="AF14" s="14"/>
      <c r="AG14" s="12"/>
      <c r="AH14" s="13"/>
      <c r="AI14" s="13"/>
      <c r="AJ14" s="14"/>
      <c r="AV14" s="208" t="s">
        <v>124</v>
      </c>
      <c r="AW14" s="131">
        <v>2000</v>
      </c>
      <c r="AX14" s="10"/>
      <c r="AY14" s="10"/>
      <c r="AZ14" s="150">
        <f>(SUMIF($A$3:$A$29,AW14,$Y$3:$Y$29)-$AZ$8)/$AZ$8</f>
        <v>0</v>
      </c>
      <c r="BA14" s="150">
        <f>(SUMIF($A$3:$A$29,AW14,$AC$3:$AC$29)-$BA8)/$BA8</f>
        <v>0</v>
      </c>
      <c r="BB14" s="150">
        <f>(SUMIF($A$3:$A$29,AW14,$AG$3:$AG$29)-$BB8)/$BB8</f>
        <v>0</v>
      </c>
      <c r="BC14" s="150">
        <f>(SUMIF($A$3:$A$29,AW14,$AG$3:$AG$29)/SUMIF($A$3:$A$29,AW14,$AC$3:$AC$29)-$BC8)/$BC8</f>
        <v>0</v>
      </c>
      <c r="BD14" s="158">
        <v>7.95740947</v>
      </c>
      <c r="BE14" s="158">
        <v>18.772590529999999</v>
      </c>
      <c r="BF14" s="150">
        <f>(BD14/BE14-$BF$8)/$BF$8</f>
        <v>0</v>
      </c>
      <c r="BG14" s="150">
        <f>((BD14+BE14)-$BG$8)/$BG$8</f>
        <v>0</v>
      </c>
      <c r="BH14" s="241">
        <v>8.6222767999999999</v>
      </c>
      <c r="BI14" s="154">
        <f>(BH14-$BH$8)/$BH$8</f>
        <v>1.8780112849114351E-3</v>
      </c>
      <c r="BJ14" s="197">
        <v>20.387873809999999</v>
      </c>
      <c r="BK14" s="194">
        <f>(BJ14-$BJ8)/$BJ8</f>
        <v>0</v>
      </c>
      <c r="BL14" s="241">
        <v>20.387873809999999</v>
      </c>
      <c r="BM14" s="154">
        <f>(BL14-$BL$8)/$BL$8</f>
        <v>0</v>
      </c>
      <c r="BN14" s="27">
        <f>SUMIF($A$3:$A$29,AW14,$U$3:$U$29)</f>
        <v>881.61855719999994</v>
      </c>
      <c r="BO14" s="27">
        <f>SUMIF($A$3:$A$29,AW14,$Y$3:$Y$29)</f>
        <v>20.222222222222221</v>
      </c>
      <c r="BP14" s="13"/>
      <c r="BQ14" s="13"/>
      <c r="BR14" s="13"/>
    </row>
    <row r="15" spans="1:70" x14ac:dyDescent="0.25">
      <c r="A15" s="42">
        <v>2030</v>
      </c>
      <c r="B15" s="12">
        <f>SUMIF('EDU projections'!$B$37:$B$63,'1'!$A15,'EDU projections'!$D$37:$D$63)</f>
        <v>0.22</v>
      </c>
      <c r="C15" s="13">
        <f>SUMIF('EDU projections'!$B$64:$B$90,'1'!$A15,'EDU projections'!$D$64:$D$90)</f>
        <v>0.03</v>
      </c>
      <c r="D15" s="13">
        <f>SUMIF('EDU projections'!$B$91:$B$117,'1'!$A15,'EDU projections'!$D$91:$D$117)</f>
        <v>7.0000000000000007E-2</v>
      </c>
      <c r="E15" s="13">
        <f>SUMIF('EDU projections'!$B$118:$B$144,'1'!$A15,'EDU projections'!$D$118:$D$144)</f>
        <v>0.16</v>
      </c>
      <c r="F15" s="13">
        <f>SUMIF('EDU projections'!$B$145:$B$171,'1'!$A15,'EDU projections'!$D$145:$D$171)</f>
        <v>7.0000000000000007E-2</v>
      </c>
      <c r="G15" s="13">
        <f>SUMIF('EDU projections'!$B$172:$B$198,'1'!$A15,'EDU projections'!$D$172:$D$198)</f>
        <v>0.26</v>
      </c>
      <c r="H15" s="14">
        <f>SUMIF('EDU projections'!$B$199:$B$225,'1'!$A15,'EDU projections'!$D$199:$D$225)</f>
        <v>0.19</v>
      </c>
      <c r="I15" s="12">
        <f t="shared" si="8"/>
        <v>0.22</v>
      </c>
      <c r="J15" s="13">
        <f t="shared" si="9"/>
        <v>0.33</v>
      </c>
      <c r="K15" s="13">
        <f t="shared" si="10"/>
        <v>0.45</v>
      </c>
      <c r="L15" s="24">
        <f>SUMIF(UN!$A$10:'UN'!$A$95,A15,UN!$B$10:'UN'!$B$95)</f>
        <v>53175.178999999996</v>
      </c>
      <c r="M15" s="44"/>
      <c r="N15" s="61">
        <f t="shared" si="11"/>
        <v>11.69853938</v>
      </c>
      <c r="O15" s="61">
        <f t="shared" si="3"/>
        <v>17.54780907</v>
      </c>
      <c r="P15" s="62">
        <f t="shared" si="3"/>
        <v>23.928830549999997</v>
      </c>
      <c r="Q15" s="89">
        <f t="shared" si="12"/>
        <v>41.47663962</v>
      </c>
      <c r="R15" s="29">
        <f t="shared" si="13"/>
        <v>1.3636363636363635</v>
      </c>
      <c r="S15" s="12"/>
      <c r="T15" s="23"/>
      <c r="U15" s="25">
        <f>RCP!J2</f>
        <v>1040.2817316000001</v>
      </c>
      <c r="V15" s="25">
        <f>RCP!J3</f>
        <v>1068.0541768000001</v>
      </c>
      <c r="W15" s="25">
        <f>RCP!I5</f>
        <v>1023.4482532</v>
      </c>
      <c r="X15" s="26">
        <f>RCP!J5</f>
        <v>1132.8284660000002</v>
      </c>
      <c r="Y15" s="12">
        <f>$Z$5+$AB$3*(U15-U$9)^$AB$4*(1-$AB$5*$Z$5)</f>
        <v>21.594313220766296</v>
      </c>
      <c r="Z15" s="13">
        <f>$Z$5+$AB$3*(V15-V$9)^$AB$4*(1-$AB$5*$Z$5)</f>
        <v>21.709558910608717</v>
      </c>
      <c r="AA15" s="13">
        <f>$Z$5+$AB$3*(W15-W$9)^$AB$4*(1-$AB$5*$Z$5)</f>
        <v>21.51948641763445</v>
      </c>
      <c r="AB15" s="14">
        <f>$Z$5+$AB$3*(X15-X$9)^$AB$4*(1-$AB$5*$Z$5)</f>
        <v>21.948708888419667</v>
      </c>
      <c r="AC15" s="12">
        <f t="shared" ref="AC15:AF15" si="25">MAX(0.001, $AD$3+$AD$4*Y15+$AD$5*Y15^2)</f>
        <v>1.006953618617116</v>
      </c>
      <c r="AD15" s="13">
        <f t="shared" si="25"/>
        <v>1.0060180233871949</v>
      </c>
      <c r="AE15" s="13">
        <f t="shared" si="25"/>
        <v>1.0074572581765096</v>
      </c>
      <c r="AF15" s="14">
        <f t="shared" si="25"/>
        <v>1.0034578379925314</v>
      </c>
      <c r="AG15" s="12">
        <f t="shared" si="23"/>
        <v>0.955022021665211</v>
      </c>
      <c r="AH15" s="13">
        <f t="shared" si="17"/>
        <v>0.95276333223435938</v>
      </c>
      <c r="AI15" s="13">
        <f t="shared" si="17"/>
        <v>0.95645583334962292</v>
      </c>
      <c r="AJ15" s="14">
        <f t="shared" si="17"/>
        <v>0.94788132077581033</v>
      </c>
      <c r="AV15" s="209"/>
      <c r="AW15" s="132">
        <v>2020</v>
      </c>
      <c r="AX15" s="13"/>
      <c r="AY15" s="13"/>
      <c r="AZ15" s="151">
        <f>(SUMIF($A$3:$A$29,AW15,$Y$3:$Y$29)-$AZ$9)/$AZ$9</f>
        <v>5.8145854438274566E-2</v>
      </c>
      <c r="BA15" s="151">
        <f t="shared" ref="BA15:BA19" si="26">(SUMIF($A$3:$A$29,AW15,$AC$3:$AC$29)-$BA9)/$BA9</f>
        <v>4.889898170989046E-3</v>
      </c>
      <c r="BB15" s="151">
        <f t="shared" ref="BB15:BB19" si="27">(SUMIF($A$3:$A$29,AW15,$AG$3:$AG$29)-$BB9)/$BB9</f>
        <v>-1.892307166697739E-2</v>
      </c>
      <c r="BC15" s="151">
        <f t="shared" ref="BC15:BC19" si="28">(SUMIF($A$3:$A$29,AW15,$AG$3:$AG$29)/SUMIF($A$3:$A$29,AW15,$AC$3:$AC$29)-$BC9)/$BC9</f>
        <v>-2.3697093463979239E-2</v>
      </c>
      <c r="BD15" s="156">
        <v>17.18793973</v>
      </c>
      <c r="BE15" s="156">
        <v>19.286696330000002</v>
      </c>
      <c r="BF15" s="151">
        <f>(BD15/BE15-$BF$9)/$BF$9</f>
        <v>1.2043571483361545E-2</v>
      </c>
      <c r="BG15" s="151">
        <f>((BD15+BE15)-$BG$9)/$BG$9</f>
        <v>-3.2437330397171765E-3</v>
      </c>
      <c r="BH15" s="242">
        <v>23.110314989999999</v>
      </c>
      <c r="BI15" s="155">
        <f>(BH15-$BH$9)/$BH$9</f>
        <v>-1.0528763404501278E-2</v>
      </c>
      <c r="BJ15" s="198">
        <v>49.2324178</v>
      </c>
      <c r="BK15" s="44">
        <f t="shared" ref="BK15:BK19" si="29">(BJ15-$BJ9)/$BJ9</f>
        <v>-1.7755092777116215E-2</v>
      </c>
      <c r="BL15" s="242">
        <v>49.517891400000003</v>
      </c>
      <c r="BM15" s="155">
        <f>(BL15-$BL$9)/$BL$9</f>
        <v>-1.2059557146798549E-2</v>
      </c>
      <c r="BN15" s="23">
        <f t="shared" ref="BN15:BN19" si="30">SUMIF($A$3:$A$29,AW15,$U$3:$U$29)</f>
        <v>998.13992640000004</v>
      </c>
      <c r="BO15" s="23">
        <f t="shared" ref="BO15:BO19" si="31">SUMIF($A$3:$A$29,AW15,$Y$3:$Y$29)</f>
        <v>21.398060611973996</v>
      </c>
      <c r="BP15" s="13"/>
      <c r="BQ15" s="13"/>
      <c r="BR15" s="13"/>
    </row>
    <row r="16" spans="1:70" x14ac:dyDescent="0.25">
      <c r="A16" s="42">
        <v>2035</v>
      </c>
      <c r="B16" s="12">
        <f>SUMIF('EDU projections'!$B$37:$B$63,'1'!$A16,'EDU projections'!$D$37:$D$63)</f>
        <v>0.21</v>
      </c>
      <c r="C16" s="13">
        <f>SUMIF('EDU projections'!$B$64:$B$90,'1'!$A16,'EDU projections'!$D$64:$D$90)</f>
        <v>0.02</v>
      </c>
      <c r="D16" s="13">
        <f>SUMIF('EDU projections'!$B$91:$B$117,'1'!$A16,'EDU projections'!$D$91:$D$117)</f>
        <v>0.06</v>
      </c>
      <c r="E16" s="13">
        <f>SUMIF('EDU projections'!$B$118:$B$144,'1'!$A16,'EDU projections'!$D$118:$D$144)</f>
        <v>0.15</v>
      </c>
      <c r="F16" s="13">
        <f>SUMIF('EDU projections'!$B$145:$B$171,'1'!$A16,'EDU projections'!$D$145:$D$171)</f>
        <v>7.0000000000000007E-2</v>
      </c>
      <c r="G16" s="13">
        <f>SUMIF('EDU projections'!$B$172:$B$198,'1'!$A16,'EDU projections'!$D$172:$D$198)</f>
        <v>0.28000000000000003</v>
      </c>
      <c r="H16" s="14">
        <f>SUMIF('EDU projections'!$B$199:$B$225,'1'!$A16,'EDU projections'!$D$199:$D$225)</f>
        <v>0.21</v>
      </c>
      <c r="I16" s="12">
        <f t="shared" si="8"/>
        <v>0.21</v>
      </c>
      <c r="J16" s="13">
        <f t="shared" si="9"/>
        <v>0.3</v>
      </c>
      <c r="K16" s="13">
        <f t="shared" si="10"/>
        <v>0.49</v>
      </c>
      <c r="L16" s="24">
        <f>SUMIF(UN!$A$10:'UN'!$A$95,A16,UN!$B$10:'UN'!$B$95)</f>
        <v>54125.18</v>
      </c>
      <c r="M16" s="44"/>
      <c r="N16" s="61">
        <f t="shared" si="11"/>
        <v>11.3662878</v>
      </c>
      <c r="O16" s="61">
        <f t="shared" si="3"/>
        <v>16.237553999999999</v>
      </c>
      <c r="P16" s="62">
        <f t="shared" si="3"/>
        <v>26.521338199999999</v>
      </c>
      <c r="Q16" s="89">
        <f t="shared" si="12"/>
        <v>42.758892199999998</v>
      </c>
      <c r="R16" s="29">
        <f t="shared" si="13"/>
        <v>1.6333333333333333</v>
      </c>
      <c r="S16" s="12"/>
      <c r="T16" s="23"/>
      <c r="U16" s="25"/>
      <c r="V16" s="25"/>
      <c r="W16" s="25"/>
      <c r="X16" s="26"/>
      <c r="Y16" s="12"/>
      <c r="Z16" s="13"/>
      <c r="AA16" s="13"/>
      <c r="AB16" s="14"/>
      <c r="AC16" s="12"/>
      <c r="AD16" s="13"/>
      <c r="AE16" s="13"/>
      <c r="AF16" s="14"/>
      <c r="AG16" s="12"/>
      <c r="AH16" s="13"/>
      <c r="AI16" s="13"/>
      <c r="AJ16" s="14"/>
      <c r="AV16" s="209"/>
      <c r="AW16" s="132">
        <v>2040</v>
      </c>
      <c r="AX16" s="13"/>
      <c r="AY16" s="13"/>
      <c r="AZ16" s="151">
        <f>(SUMIF($A$3:$A$29,AW16,$Y$3:$Y$29)-$AZ$10)/$AZ$10</f>
        <v>7.2553236962489193E-2</v>
      </c>
      <c r="BA16" s="151">
        <f t="shared" si="26"/>
        <v>2.9909679037702043E-3</v>
      </c>
      <c r="BB16" s="151">
        <f t="shared" si="27"/>
        <v>-2.4617917549900517E-2</v>
      </c>
      <c r="BC16" s="151">
        <f t="shared" si="28"/>
        <v>-2.7526554412920338E-2</v>
      </c>
      <c r="BD16" s="156">
        <v>27.080147369999999</v>
      </c>
      <c r="BE16" s="156">
        <v>14.598503020000001</v>
      </c>
      <c r="BF16" s="151">
        <f>(BD16/BE16-$BF$10)/$BF$10</f>
        <v>1.4043675805798163E-2</v>
      </c>
      <c r="BG16" s="151">
        <f>((BD16+BE16)-$BG$10)/$BG$10</f>
        <v>-6.1314086905229076E-3</v>
      </c>
      <c r="BH16" s="242">
        <v>51.453078069999997</v>
      </c>
      <c r="BI16" s="155">
        <f>(BH16-$BH$10)/$BH$10</f>
        <v>-1.8557430824669187E-2</v>
      </c>
      <c r="BJ16" s="198">
        <v>102.94750623</v>
      </c>
      <c r="BK16" s="44">
        <f t="shared" si="29"/>
        <v>-2.394580928043798E-2</v>
      </c>
      <c r="BL16" s="242">
        <v>103.42032439</v>
      </c>
      <c r="BM16" s="155">
        <f>(BL16-$BL$10)/$BL$10</f>
        <v>-1.9462979502266723E-2</v>
      </c>
      <c r="BN16" s="23">
        <f t="shared" si="30"/>
        <v>1063.0370908</v>
      </c>
      <c r="BO16" s="23">
        <f t="shared" si="31"/>
        <v>21.689409903019225</v>
      </c>
      <c r="BP16" s="13"/>
      <c r="BQ16" s="13"/>
      <c r="BR16" s="13"/>
    </row>
    <row r="17" spans="1:70" x14ac:dyDescent="0.25">
      <c r="A17" s="42">
        <v>2040</v>
      </c>
      <c r="B17" s="12">
        <f>SUMIF('EDU projections'!$B$37:$B$63,'1'!$A17,'EDU projections'!$D$37:$D$63)</f>
        <v>0.2</v>
      </c>
      <c r="C17" s="13">
        <f>SUMIF('EDU projections'!$B$64:$B$90,'1'!$A17,'EDU projections'!$D$64:$D$90)</f>
        <v>0.02</v>
      </c>
      <c r="D17" s="13">
        <f>SUMIF('EDU projections'!$B$91:$B$117,'1'!$A17,'EDU projections'!$D$91:$D$117)</f>
        <v>0.05</v>
      </c>
      <c r="E17" s="13">
        <f>SUMIF('EDU projections'!$B$118:$B$144,'1'!$A17,'EDU projections'!$D$118:$D$144)</f>
        <v>0.14000000000000001</v>
      </c>
      <c r="F17" s="13">
        <f>SUMIF('EDU projections'!$B$145:$B$171,'1'!$A17,'EDU projections'!$D$145:$D$171)</f>
        <v>7.0000000000000007E-2</v>
      </c>
      <c r="G17" s="13">
        <f>SUMIF('EDU projections'!$B$172:$B$198,'1'!$A17,'EDU projections'!$D$172:$D$198)</f>
        <v>0.3</v>
      </c>
      <c r="H17" s="14">
        <f>SUMIF('EDU projections'!$B$199:$B$225,'1'!$A17,'EDU projections'!$D$199:$D$225)</f>
        <v>0.23</v>
      </c>
      <c r="I17" s="12">
        <f t="shared" si="8"/>
        <v>0.2</v>
      </c>
      <c r="J17" s="13">
        <f t="shared" si="9"/>
        <v>0.28000000000000003</v>
      </c>
      <c r="K17" s="13">
        <f t="shared" si="10"/>
        <v>0.53</v>
      </c>
      <c r="L17" s="24">
        <f>SUMIF(UN!$A$10:'UN'!$A$95,A17,UN!$B$10:'UN'!$B$95)</f>
        <v>54722.67</v>
      </c>
      <c r="M17" s="45">
        <f>(L17-L13)/L13</f>
        <v>8.9465218130874671E-2</v>
      </c>
      <c r="N17" s="61">
        <f t="shared" si="11"/>
        <v>10.944533999999999</v>
      </c>
      <c r="O17" s="61">
        <f t="shared" si="3"/>
        <v>15.322347600000001</v>
      </c>
      <c r="P17" s="62">
        <f t="shared" si="3"/>
        <v>29.003015099999999</v>
      </c>
      <c r="Q17" s="96">
        <f t="shared" si="12"/>
        <v>44.325362699999999</v>
      </c>
      <c r="R17" s="175">
        <f t="shared" si="13"/>
        <v>1.8928571428571428</v>
      </c>
      <c r="S17" s="12"/>
      <c r="T17" s="23"/>
      <c r="U17" s="63">
        <f>RCP!K2</f>
        <v>1063.0370908</v>
      </c>
      <c r="V17" s="63">
        <f>RCP!K3</f>
        <v>1138.9385179999999</v>
      </c>
      <c r="W17" s="63">
        <f>RCP!K4</f>
        <v>1112.9290860000001</v>
      </c>
      <c r="X17" s="64">
        <f>RCP!K5</f>
        <v>1270.6069692000001</v>
      </c>
      <c r="Y17" s="12">
        <f>$Z$5+$AB$3*(U17-U$9)^$AB$4*(1-$AB$5*$Z$5)</f>
        <v>21.689409903019225</v>
      </c>
      <c r="Z17" s="13">
        <f>$Z$5+$AB$3*(V17-V$9)^$AB$4*(1-$AB$5*$Z$5)</f>
        <v>21.969578980155202</v>
      </c>
      <c r="AA17" s="13">
        <f>$Z$5+$AB$3*(W17-W$9)^$AB$4*(1-$AB$5*$Z$5)</f>
        <v>21.878917164565713</v>
      </c>
      <c r="AB17" s="14">
        <f>$Z$5+$AB$3*(X17-X$9)^$AB$4*(1-$AB$5*$Z$5)</f>
        <v>22.370612496205052</v>
      </c>
      <c r="AC17" s="142">
        <f t="shared" ref="AC17:AF17" si="32">MAX(0.001, $AD$3+$AD$4*Y17+$AD$5*Y17^2)</f>
        <v>1.0061955859592455</v>
      </c>
      <c r="AD17" s="143">
        <f t="shared" si="32"/>
        <v>1.003194801761278</v>
      </c>
      <c r="AE17" s="143">
        <f t="shared" si="32"/>
        <v>1.0042912677405633</v>
      </c>
      <c r="AF17" s="144">
        <f t="shared" si="32"/>
        <v>0.99690523360698657</v>
      </c>
      <c r="AG17" s="142">
        <f t="shared" si="23"/>
        <v>0.95316263777680432</v>
      </c>
      <c r="AH17" s="143">
        <f t="shared" si="17"/>
        <v>0.9474427971122783</v>
      </c>
      <c r="AI17" s="143">
        <f t="shared" si="17"/>
        <v>0.94933323568922212</v>
      </c>
      <c r="AJ17" s="144">
        <f t="shared" si="17"/>
        <v>0.93862710174906328</v>
      </c>
      <c r="AV17" s="209"/>
      <c r="AW17" s="132">
        <v>2060</v>
      </c>
      <c r="AX17" s="13"/>
      <c r="AY17" s="13"/>
      <c r="AZ17" s="151">
        <f>(SUMIF($A$3:$A$29,AW17,$Y$3:$Y$29)-$AZ$11)/$AZ$11</f>
        <v>7.1919451094229744E-2</v>
      </c>
      <c r="BA17" s="151">
        <f t="shared" si="26"/>
        <v>3.1004792895607336E-3</v>
      </c>
      <c r="BB17" s="151">
        <f t="shared" si="27"/>
        <v>-2.4358997247825125E-2</v>
      </c>
      <c r="BC17" s="151">
        <f t="shared" si="28"/>
        <v>-2.7374602150358775E-2</v>
      </c>
      <c r="BD17" s="156">
        <v>33.421583529999999</v>
      </c>
      <c r="BE17" s="156">
        <v>8.6735597000000002</v>
      </c>
      <c r="BF17" s="151">
        <f>(BD17/BE17-$BF$11)/$BF$11</f>
        <v>1.3968217384521423E-2</v>
      </c>
      <c r="BG17" s="151">
        <f>((BD17+BE17)-$BG$11)/$BG$11</f>
        <v>-7.9546976761371464E-3</v>
      </c>
      <c r="BH17" s="242">
        <v>98.100337109999998</v>
      </c>
      <c r="BI17" s="155">
        <f>(BH17-$BH$11)/$BH$11</f>
        <v>-2.0909550657301171E-2</v>
      </c>
      <c r="BJ17" s="198">
        <v>189.63025490000001</v>
      </c>
      <c r="BK17" s="44">
        <f t="shared" si="29"/>
        <v>-2.4028151079245597E-2</v>
      </c>
      <c r="BL17" s="242">
        <v>190.14610816999999</v>
      </c>
      <c r="BM17" s="155">
        <f>(BL17-$BL$11)/$BL$11</f>
        <v>-2.137320411437867E-2</v>
      </c>
      <c r="BN17" s="23">
        <f t="shared" si="30"/>
        <v>1059.881386</v>
      </c>
      <c r="BO17" s="23">
        <f t="shared" si="31"/>
        <v>21.676593344349978</v>
      </c>
      <c r="BP17" s="13"/>
      <c r="BQ17" s="13"/>
      <c r="BR17" s="13"/>
    </row>
    <row r="18" spans="1:70" x14ac:dyDescent="0.25">
      <c r="A18" s="42">
        <v>2045</v>
      </c>
      <c r="B18" s="12">
        <f>SUMIF('EDU projections'!$B$37:$B$63,'1'!$A18,'EDU projections'!$D$37:$D$63)</f>
        <v>0.19</v>
      </c>
      <c r="C18" s="13">
        <f>SUMIF('EDU projections'!$B$64:$B$90,'1'!$A18,'EDU projections'!$D$64:$D$90)</f>
        <v>0.02</v>
      </c>
      <c r="D18" s="13">
        <f>SUMIF('EDU projections'!$B$91:$B$117,'1'!$A18,'EDU projections'!$D$91:$D$117)</f>
        <v>0.04</v>
      </c>
      <c r="E18" s="13">
        <f>SUMIF('EDU projections'!$B$118:$B$144,'1'!$A18,'EDU projections'!$D$118:$D$144)</f>
        <v>0.13</v>
      </c>
      <c r="F18" s="13">
        <f>SUMIF('EDU projections'!$B$145:$B$171,'1'!$A18,'EDU projections'!$D$145:$D$171)</f>
        <v>7.0000000000000007E-2</v>
      </c>
      <c r="G18" s="13">
        <f>SUMIF('EDU projections'!$B$172:$B$198,'1'!$A18,'EDU projections'!$D$172:$D$198)</f>
        <v>0.31</v>
      </c>
      <c r="H18" s="14">
        <f>SUMIF('EDU projections'!$B$199:$B$225,'1'!$A18,'EDU projections'!$D$199:$D$225)</f>
        <v>0.25</v>
      </c>
      <c r="I18" s="12">
        <f t="shared" si="8"/>
        <v>0.19</v>
      </c>
      <c r="J18" s="13">
        <f t="shared" si="9"/>
        <v>0.26</v>
      </c>
      <c r="K18" s="13">
        <f t="shared" si="10"/>
        <v>0.56000000000000005</v>
      </c>
      <c r="L18" s="24">
        <f>SUMIF(UN!$A$10:'UN'!$A$95,A18,UN!$B$10:'UN'!$B$95)</f>
        <v>54983.25</v>
      </c>
      <c r="M18" s="44"/>
      <c r="N18" s="61">
        <f t="shared" si="11"/>
        <v>10.446817500000002</v>
      </c>
      <c r="O18" s="61">
        <f t="shared" si="3"/>
        <v>14.295645</v>
      </c>
      <c r="P18" s="62">
        <f t="shared" si="3"/>
        <v>30.790620000000004</v>
      </c>
      <c r="Q18" s="89">
        <f t="shared" si="12"/>
        <v>45.086265000000004</v>
      </c>
      <c r="R18" s="29">
        <f t="shared" si="13"/>
        <v>2.1538461538461542</v>
      </c>
      <c r="S18" s="12"/>
      <c r="T18" s="23"/>
      <c r="U18" s="25"/>
      <c r="V18" s="25"/>
      <c r="W18" s="25"/>
      <c r="X18" s="26"/>
      <c r="Y18" s="12"/>
      <c r="Z18" s="13"/>
      <c r="AA18" s="13"/>
      <c r="AB18" s="14"/>
      <c r="AC18" s="12"/>
      <c r="AD18" s="13"/>
      <c r="AE18" s="13"/>
      <c r="AF18" s="14"/>
      <c r="AG18" s="12"/>
      <c r="AH18" s="13"/>
      <c r="AI18" s="13"/>
      <c r="AJ18" s="14"/>
      <c r="AV18" s="209"/>
      <c r="AW18" s="132">
        <v>2080</v>
      </c>
      <c r="AX18" s="13"/>
      <c r="AY18" s="13"/>
      <c r="AZ18" s="151">
        <f>(SUMIF($A$3:$A$29,AW18,$Y$3:$Y$29)-$AZ$12)/$AZ$12</f>
        <v>6.6485369046913975E-2</v>
      </c>
      <c r="BA18" s="151">
        <f t="shared" si="26"/>
        <v>3.9413102586801424E-3</v>
      </c>
      <c r="BB18" s="151">
        <f t="shared" si="27"/>
        <v>-2.2170750009718937E-2</v>
      </c>
      <c r="BC18" s="151">
        <f t="shared" si="28"/>
        <v>-2.6009548567805161E-2</v>
      </c>
      <c r="BD18" s="156">
        <v>35.108119989999999</v>
      </c>
      <c r="BE18" s="156">
        <v>4.38899113</v>
      </c>
      <c r="BF18" s="151">
        <f>(BD18/BE18-$BF$12)/$BF$12</f>
        <v>1.3253919366400916E-2</v>
      </c>
      <c r="BG18" s="151">
        <f>((BD18+BE18)-$BG$12)/$BG$12</f>
        <v>-8.9246865033314245E-3</v>
      </c>
      <c r="BH18" s="242">
        <v>167.71117846000001</v>
      </c>
      <c r="BI18" s="155">
        <f>(BH18-$BH$12)/$BH$12</f>
        <v>-2.0407767694867154E-2</v>
      </c>
      <c r="BJ18" s="198">
        <v>318.48237351</v>
      </c>
      <c r="BK18" s="44">
        <f t="shared" si="29"/>
        <v>-2.1998525336220143E-2</v>
      </c>
      <c r="BL18" s="242">
        <v>318.92834359</v>
      </c>
      <c r="BM18" s="155">
        <f>(BL18-$BL$12)/$BL$12</f>
        <v>-2.0629032289904901E-2</v>
      </c>
      <c r="BN18" s="23">
        <f t="shared" si="30"/>
        <v>1033.9607608000001</v>
      </c>
      <c r="BO18" s="23">
        <f t="shared" si="31"/>
        <v>21.566704129615371</v>
      </c>
      <c r="BP18" s="13"/>
      <c r="BQ18" s="13"/>
      <c r="BR18" s="13"/>
    </row>
    <row r="19" spans="1:70" ht="15.75" thickBot="1" x14ac:dyDescent="0.3">
      <c r="A19" s="42">
        <v>2050</v>
      </c>
      <c r="B19" s="12">
        <f>SUMIF('EDU projections'!$B$37:$B$63,'1'!$A19,'EDU projections'!$D$37:$D$63)</f>
        <v>0.18</v>
      </c>
      <c r="C19" s="13">
        <f>SUMIF('EDU projections'!$B$64:$B$90,'1'!$A19,'EDU projections'!$D$64:$D$90)</f>
        <v>0.01</v>
      </c>
      <c r="D19" s="13">
        <f>SUMIF('EDU projections'!$B$91:$B$117,'1'!$A19,'EDU projections'!$D$91:$D$117)</f>
        <v>0.04</v>
      </c>
      <c r="E19" s="13">
        <f>SUMIF('EDU projections'!$B$118:$B$144,'1'!$A19,'EDU projections'!$D$118:$D$144)</f>
        <v>0.12</v>
      </c>
      <c r="F19" s="13">
        <f>SUMIF('EDU projections'!$B$145:$B$171,'1'!$A19,'EDU projections'!$D$145:$D$171)</f>
        <v>0.06</v>
      </c>
      <c r="G19" s="13">
        <f>SUMIF('EDU projections'!$B$172:$B$198,'1'!$A19,'EDU projections'!$D$172:$D$198)</f>
        <v>0.33</v>
      </c>
      <c r="H19" s="14">
        <f>SUMIF('EDU projections'!$B$199:$B$225,'1'!$A19,'EDU projections'!$D$199:$D$225)</f>
        <v>0.27</v>
      </c>
      <c r="I19" s="12">
        <f t="shared" si="8"/>
        <v>0.18</v>
      </c>
      <c r="J19" s="13">
        <f t="shared" si="9"/>
        <v>0.22999999999999998</v>
      </c>
      <c r="K19" s="13">
        <f t="shared" si="10"/>
        <v>0.60000000000000009</v>
      </c>
      <c r="L19" s="24">
        <f>SUMIF(UN!$A$10:'UN'!$A$95,A19,UN!$B$10:'UN'!$B$95)</f>
        <v>54927.275000000001</v>
      </c>
      <c r="M19" s="44"/>
      <c r="N19" s="61">
        <f t="shared" si="11"/>
        <v>9.8869094999999998</v>
      </c>
      <c r="O19" s="61">
        <f t="shared" si="3"/>
        <v>12.63327325</v>
      </c>
      <c r="P19" s="62">
        <f t="shared" si="3"/>
        <v>32.956365000000005</v>
      </c>
      <c r="Q19" s="89">
        <f t="shared" si="12"/>
        <v>45.589638250000007</v>
      </c>
      <c r="R19" s="29">
        <f t="shared" si="13"/>
        <v>2.6086956521739135</v>
      </c>
      <c r="S19" s="12"/>
      <c r="T19" s="23"/>
      <c r="U19" s="25">
        <f>RCP!L2</f>
        <v>1067.0395236000002</v>
      </c>
      <c r="V19" s="25">
        <f>RCP!L3</f>
        <v>1207.7963936000001</v>
      </c>
      <c r="W19" s="25">
        <f>RCP!L4</f>
        <v>1191.4936360000002</v>
      </c>
      <c r="X19" s="26">
        <f>RCP!L5</f>
        <v>1448.0907616000002</v>
      </c>
      <c r="Y19" s="12">
        <f>$Z$5+$AB$3*(U19-U$9)^$AB$4*(1-$AB$5*$Z$5)</f>
        <v>21.705506064227897</v>
      </c>
      <c r="Z19" s="13">
        <f>$Z$5+$AB$3*(V19-V$9)^$AB$4*(1-$AB$5*$Z$5)</f>
        <v>22.189528915351776</v>
      </c>
      <c r="AA19" s="13">
        <f>$Z$5+$AB$3*(W19-W$9)^$AB$4*(1-$AB$5*$Z$5)</f>
        <v>22.139734576755949</v>
      </c>
      <c r="AB19" s="14">
        <f>$Z$5+$AB$3*(X19-X$9)^$AB$4*(1-$AB$5*$Z$5)</f>
        <v>22.814814052067376</v>
      </c>
      <c r="AC19" s="12">
        <f t="shared" ref="AC19:AF19" si="33">MAX(0.001, $AD$3+$AD$4*Y19+$AD$5*Y19^2)</f>
        <v>1.0060542152012841</v>
      </c>
      <c r="AD19" s="13">
        <f t="shared" si="33"/>
        <v>1.0000359934861489</v>
      </c>
      <c r="AE19" s="13">
        <f t="shared" si="33"/>
        <v>1.000812965597651</v>
      </c>
      <c r="AF19" s="14">
        <f t="shared" si="33"/>
        <v>0.98719782435475167</v>
      </c>
      <c r="AG19" s="12">
        <f t="shared" si="23"/>
        <v>0.95284380007849334</v>
      </c>
      <c r="AH19" s="13">
        <f t="shared" si="17"/>
        <v>0.94269936821210698</v>
      </c>
      <c r="AI19" s="13">
        <f t="shared" si="17"/>
        <v>0.94379271774330897</v>
      </c>
      <c r="AJ19" s="14">
        <f t="shared" si="17"/>
        <v>0.92799892163544473</v>
      </c>
      <c r="AV19" s="210"/>
      <c r="AW19" s="133">
        <v>2100</v>
      </c>
      <c r="AX19" s="16"/>
      <c r="AY19" s="16"/>
      <c r="AZ19" s="152">
        <f>(SUMIF($A$3:$A$29,AW19,$Y$3:$Y$29)-$AZ$13)/$AZ$13</f>
        <v>6.04142170275161E-2</v>
      </c>
      <c r="BA19" s="152">
        <f t="shared" si="26"/>
        <v>4.672861243788377E-3</v>
      </c>
      <c r="BB19" s="152">
        <f t="shared" si="27"/>
        <v>-1.9793190953251268E-2</v>
      </c>
      <c r="BC19" s="152">
        <f t="shared" si="28"/>
        <v>-2.4352257476877224E-2</v>
      </c>
      <c r="BD19" s="157">
        <v>33.589552580000003</v>
      </c>
      <c r="BE19" s="157">
        <v>2.0231074100000002</v>
      </c>
      <c r="BF19" s="152">
        <f>(BD19/BE19-$BF$13)/$BF$13</f>
        <v>1.2375044621549768E-2</v>
      </c>
      <c r="BG19" s="152">
        <f>((BD19+BE19)-$BG$13)/$BG$13</f>
        <v>-9.3967025847370433E-3</v>
      </c>
      <c r="BH19" s="243">
        <v>0</v>
      </c>
      <c r="BI19" s="17"/>
      <c r="BJ19" s="199">
        <v>505.22456485999999</v>
      </c>
      <c r="BK19" s="200">
        <f t="shared" si="29"/>
        <v>-1.9655432164222331E-2</v>
      </c>
      <c r="BL19" s="243">
        <v>505.56321584</v>
      </c>
      <c r="BM19" s="17">
        <f>(BL19-$BL$13)/$BL$13</f>
        <v>-1.8998309229736214E-2</v>
      </c>
      <c r="BN19" s="53">
        <f t="shared" si="30"/>
        <v>1007.40863</v>
      </c>
      <c r="BO19" s="53">
        <f t="shared" si="31"/>
        <v>21.443931944334214</v>
      </c>
      <c r="BP19" s="13"/>
      <c r="BQ19" s="13"/>
      <c r="BR19" s="13"/>
    </row>
    <row r="20" spans="1:70" x14ac:dyDescent="0.25">
      <c r="A20" s="42">
        <v>2055</v>
      </c>
      <c r="B20" s="12">
        <f>SUMIF('EDU projections'!$B$37:$B$63,'1'!$A20,'EDU projections'!$D$37:$D$63)</f>
        <v>0.17</v>
      </c>
      <c r="C20" s="13">
        <f>SUMIF('EDU projections'!$B$64:$B$90,'1'!$A20,'EDU projections'!$D$64:$D$90)</f>
        <v>0.01</v>
      </c>
      <c r="D20" s="13">
        <f>SUMIF('EDU projections'!$B$91:$B$117,'1'!$A20,'EDU projections'!$D$91:$D$117)</f>
        <v>0.03</v>
      </c>
      <c r="E20" s="13">
        <f>SUMIF('EDU projections'!$B$118:$B$144,'1'!$A20,'EDU projections'!$D$118:$D$144)</f>
        <v>0.1</v>
      </c>
      <c r="F20" s="13">
        <f>SUMIF('EDU projections'!$B$145:$B$171,'1'!$A20,'EDU projections'!$D$145:$D$171)</f>
        <v>0.06</v>
      </c>
      <c r="G20" s="13">
        <f>SUMIF('EDU projections'!$B$172:$B$198,'1'!$A20,'EDU projections'!$D$172:$D$198)</f>
        <v>0.34</v>
      </c>
      <c r="H20" s="14">
        <f>SUMIF('EDU projections'!$B$199:$B$225,'1'!$A20,'EDU projections'!$D$199:$D$225)</f>
        <v>0.28999999999999998</v>
      </c>
      <c r="I20" s="12">
        <f t="shared" si="8"/>
        <v>0.17</v>
      </c>
      <c r="J20" s="13">
        <f t="shared" si="9"/>
        <v>0.2</v>
      </c>
      <c r="K20" s="13">
        <f t="shared" si="10"/>
        <v>0.63</v>
      </c>
      <c r="L20" s="24">
        <f>SUMIF(UN!$A$10:'UN'!$A$95,A20,UN!$B$10:'UN'!$B$95)</f>
        <v>54614.807999999997</v>
      </c>
      <c r="M20" s="44"/>
      <c r="N20" s="61">
        <f t="shared" si="11"/>
        <v>9.2845173600000006</v>
      </c>
      <c r="O20" s="61">
        <f t="shared" si="3"/>
        <v>10.922961600000001</v>
      </c>
      <c r="P20" s="62">
        <f t="shared" si="3"/>
        <v>34.407329039999993</v>
      </c>
      <c r="Q20" s="89">
        <f t="shared" si="12"/>
        <v>45.330290639999994</v>
      </c>
      <c r="R20" s="29">
        <f t="shared" si="13"/>
        <v>3.149999999999999</v>
      </c>
      <c r="S20" s="12"/>
      <c r="T20" s="23"/>
      <c r="U20" s="25"/>
      <c r="V20" s="25"/>
      <c r="W20" s="25"/>
      <c r="X20" s="26"/>
      <c r="Y20" s="12"/>
      <c r="Z20" s="13"/>
      <c r="AA20" s="13"/>
      <c r="AB20" s="14"/>
      <c r="AC20" s="12"/>
      <c r="AD20" s="13"/>
      <c r="AE20" s="13"/>
      <c r="AF20" s="14"/>
      <c r="AG20" s="12"/>
      <c r="AH20" s="13"/>
      <c r="AI20" s="13"/>
      <c r="AJ20" s="14"/>
      <c r="AV20" s="208" t="s">
        <v>125</v>
      </c>
      <c r="AW20" s="131">
        <v>2000</v>
      </c>
      <c r="AX20" s="10"/>
      <c r="AY20" s="10"/>
      <c r="AZ20" s="150">
        <f>(SUMIF($A$3:$A$29,AW20,$Z$3:$Z$29)-$AZ$8)/$AZ$8</f>
        <v>0</v>
      </c>
      <c r="BA20" s="150">
        <f>(SUMIF($A$3:$A$29,AW20,$AD$3:$AD$29)-$BA8)/$BA8</f>
        <v>0</v>
      </c>
      <c r="BB20" s="150">
        <f>(SUMIF($A$3:$A$29,AW20,$AH$3:$AH$29)-$BB8)/$BB8</f>
        <v>0</v>
      </c>
      <c r="BC20" s="150">
        <f>(SUMIF($A$3:$A$29,AW20,$AH$3:$AH$29)/SUMIF($A$3:$A$29,AW20,$AD$3:$AD$29)-$BC8)/$BC8</f>
        <v>0</v>
      </c>
      <c r="BD20" s="158">
        <v>7.95740947</v>
      </c>
      <c r="BE20" s="158">
        <v>18.772590529999999</v>
      </c>
      <c r="BF20" s="150">
        <f t="shared" ref="BF20" si="34">(BD20/BE20-$BF$8)/$BF$8</f>
        <v>0</v>
      </c>
      <c r="BG20" s="150">
        <f t="shared" ref="BG20" si="35">((BD20+BE20)-$BG$8)/$BG$8</f>
        <v>0</v>
      </c>
      <c r="BH20" s="241">
        <v>8.6224272600000003</v>
      </c>
      <c r="BI20" s="154">
        <f>(BH20-$BH$8)/$BH$8</f>
        <v>1.8954942037593125E-3</v>
      </c>
      <c r="BJ20" s="197">
        <v>20.387873809999999</v>
      </c>
      <c r="BK20" s="194">
        <f>(BJ20-$BJ8)/$BJ8</f>
        <v>0</v>
      </c>
      <c r="BL20" s="241">
        <v>20.387873809999999</v>
      </c>
      <c r="BM20" s="154">
        <f t="shared" ref="BM20" si="36">(BL20-$BL$8)/$BL$8</f>
        <v>0</v>
      </c>
      <c r="BN20" s="23">
        <f>SUMIF($A$3:$A$29,AW20,$V$3:$V$29)</f>
        <v>881.61855719999994</v>
      </c>
      <c r="BO20" s="23">
        <f>SUMIF($A$3:$A$29,AW20,$Z$3:$Z$29)</f>
        <v>20.222222222222221</v>
      </c>
      <c r="BP20" s="13"/>
      <c r="BQ20" s="13"/>
      <c r="BR20" s="13"/>
    </row>
    <row r="21" spans="1:70" x14ac:dyDescent="0.25">
      <c r="A21" s="42">
        <v>2060</v>
      </c>
      <c r="B21" s="12">
        <f>SUMIF('EDU projections'!$B$37:$B$63,'1'!$A21,'EDU projections'!$D$37:$D$63)</f>
        <v>0.16</v>
      </c>
      <c r="C21" s="13">
        <f>SUMIF('EDU projections'!$B$64:$B$90,'1'!$A21,'EDU projections'!$D$64:$D$90)</f>
        <v>0.01</v>
      </c>
      <c r="D21" s="13">
        <f>SUMIF('EDU projections'!$B$91:$B$117,'1'!$A21,'EDU projections'!$D$91:$D$117)</f>
        <v>0.02</v>
      </c>
      <c r="E21" s="13">
        <f>SUMIF('EDU projections'!$B$118:$B$144,'1'!$A21,'EDU projections'!$D$118:$D$144)</f>
        <v>0.09</v>
      </c>
      <c r="F21" s="13">
        <f>SUMIF('EDU projections'!$B$145:$B$171,'1'!$A21,'EDU projections'!$D$145:$D$171)</f>
        <v>0.05</v>
      </c>
      <c r="G21" s="13">
        <f>SUMIF('EDU projections'!$B$172:$B$198,'1'!$A21,'EDU projections'!$D$172:$D$198)</f>
        <v>0.35</v>
      </c>
      <c r="H21" s="14">
        <f>SUMIF('EDU projections'!$B$199:$B$225,'1'!$A21,'EDU projections'!$D$199:$D$225)</f>
        <v>0.31</v>
      </c>
      <c r="I21" s="12">
        <f t="shared" si="8"/>
        <v>0.16</v>
      </c>
      <c r="J21" s="13">
        <f t="shared" si="9"/>
        <v>0.16999999999999998</v>
      </c>
      <c r="K21" s="13">
        <f t="shared" si="10"/>
        <v>0.65999999999999992</v>
      </c>
      <c r="L21" s="24">
        <f>SUMIF(UN!$A$10:'UN'!$A$95,A21,UN!$B$10:'UN'!$B$95)</f>
        <v>54073.103000000003</v>
      </c>
      <c r="M21" s="45">
        <f>(L21-L17)/L17</f>
        <v>-1.1870162768008131E-2</v>
      </c>
      <c r="N21" s="61">
        <f t="shared" si="11"/>
        <v>8.65169648</v>
      </c>
      <c r="O21" s="61">
        <f t="shared" si="3"/>
        <v>9.1924275099999999</v>
      </c>
      <c r="P21" s="62">
        <f t="shared" si="3"/>
        <v>35.68824798</v>
      </c>
      <c r="Q21" s="96">
        <f t="shared" si="12"/>
        <v>44.880675490000002</v>
      </c>
      <c r="R21" s="175">
        <f t="shared" si="13"/>
        <v>3.8823529411764706</v>
      </c>
      <c r="S21" s="12"/>
      <c r="T21" s="23"/>
      <c r="U21" s="63">
        <f>RCP!M2</f>
        <v>1059.881386</v>
      </c>
      <c r="V21" s="63">
        <f>RCP!M3</f>
        <v>1265.6261140000001</v>
      </c>
      <c r="W21" s="63">
        <f>RCP!M4</f>
        <v>1286.1588864</v>
      </c>
      <c r="X21" s="64">
        <f>RCP!M5</f>
        <v>1665.4800136000001</v>
      </c>
      <c r="Y21" s="12">
        <f>$Z$5+$AB$3*(U21-U$9)^$AB$4*(1-$AB$5*$Z$5)</f>
        <v>21.676593344349978</v>
      </c>
      <c r="Z21" s="13">
        <f>$Z$5+$AB$3*(V21-V$9)^$AB$4*(1-$AB$5*$Z$5)</f>
        <v>22.356813502906697</v>
      </c>
      <c r="AA21" s="13">
        <f>$Z$5+$AB$3*(W21-W$9)^$AB$4*(1-$AB$5*$Z$5)</f>
        <v>22.413138375978818</v>
      </c>
      <c r="AB21" s="14">
        <f>$Z$5+$AB$3*(X21-X$9)^$AB$4*(1-$AB$5*$Z$5)</f>
        <v>23.271974053256237</v>
      </c>
      <c r="AC21" s="142">
        <f t="shared" ref="AC21:AF21" si="37">MAX(0.001, $AD$3+$AD$4*Y21+$AD$5*Y21^2)</f>
        <v>1.0063054472406736</v>
      </c>
      <c r="AD21" s="143">
        <f t="shared" si="37"/>
        <v>0.99716065586787828</v>
      </c>
      <c r="AE21" s="143">
        <f t="shared" si="37"/>
        <v>0.99610058521782285</v>
      </c>
      <c r="AF21" s="144">
        <f t="shared" si="37"/>
        <v>0.97419914115427009</v>
      </c>
      <c r="AG21" s="142">
        <f t="shared" si="23"/>
        <v>0.9534156598104675</v>
      </c>
      <c r="AH21" s="143">
        <f t="shared" si="17"/>
        <v>0.93894272722390792</v>
      </c>
      <c r="AI21" s="143">
        <f t="shared" si="17"/>
        <v>0.93764889479852442</v>
      </c>
      <c r="AJ21" s="144">
        <f t="shared" si="17"/>
        <v>0.91611293868900634</v>
      </c>
      <c r="AV21" s="209"/>
      <c r="AW21" s="132">
        <v>2020</v>
      </c>
      <c r="AX21" s="13"/>
      <c r="AY21" s="13"/>
      <c r="AZ21" s="151">
        <f t="shared" ref="AZ21:AZ25" si="38">(SUMIF($A$3:$A$29,AW21,$Z$3:$Z$29)-$AZ$8)/$AZ$8</f>
        <v>5.8744465134202235E-2</v>
      </c>
      <c r="BA21" s="151">
        <f t="shared" ref="BA21:BA25" si="39">(SUMIF($A$3:$A$29,AW21,$AD$3:$AD$29)-$BA9)/$BA9</f>
        <v>4.8355974481128945E-3</v>
      </c>
      <c r="BB21" s="151">
        <f t="shared" ref="BB21:BB25" si="40">(SUMIF($A$3:$A$29,AW21,$AH$3:$AH$29)-$BB9)/$BB9</f>
        <v>-1.9151730204759753E-2</v>
      </c>
      <c r="BC21" s="151">
        <f t="shared" ref="BC21:BC25" si="41">(SUMIF($A$3:$A$29,AW21,$AH$3:$AH$29)/SUMIF($A$3:$A$29,AW21,$AD$3:$AD$29)-$BC9)/$BC9</f>
        <v>-2.3871892789020521E-2</v>
      </c>
      <c r="BD21" s="156">
        <v>17.188433920000001</v>
      </c>
      <c r="BE21" s="156">
        <v>19.28509919</v>
      </c>
      <c r="BF21" s="151">
        <f t="shared" ref="BF21" si="42">(BD21/BE21-$BF$9)/$BF$9</f>
        <v>1.2156487032956107E-2</v>
      </c>
      <c r="BG21" s="151">
        <f t="shared" ref="BG21" si="43">((BD21+BE21)-$BG$9)/$BG$9</f>
        <v>-3.2738737743041317E-3</v>
      </c>
      <c r="BH21" s="242">
        <v>23.108979900000001</v>
      </c>
      <c r="BI21" s="155">
        <f>(BH21-$BH$9)/$BH$9</f>
        <v>-1.0585925461956388E-2</v>
      </c>
      <c r="BJ21" s="198">
        <v>49.218650590000003</v>
      </c>
      <c r="BK21" s="44">
        <f t="shared" ref="BK21:BK25" si="44">(BJ21-$BJ9)/$BJ9</f>
        <v>-1.8029764883696474E-2</v>
      </c>
      <c r="BL21" s="242">
        <v>49.50670796</v>
      </c>
      <c r="BM21" s="155">
        <f t="shared" ref="BM21" si="45">(BL21-$BL$9)/$BL$9</f>
        <v>-1.2282679988944159E-2</v>
      </c>
      <c r="BN21" s="23">
        <f t="shared" ref="BN21:BN25" si="46">SUMIF($A$3:$A$29,AW21,$V$3:$V$29)</f>
        <v>1000.5514476000001</v>
      </c>
      <c r="BO21" s="23">
        <f t="shared" ref="BO21:BO25" si="47">SUMIF($A$3:$A$29,AW21,$Z$3:$Z$29)</f>
        <v>21.410165850491644</v>
      </c>
      <c r="BP21" s="13"/>
      <c r="BQ21" s="13"/>
      <c r="BR21" s="13"/>
    </row>
    <row r="22" spans="1:70" x14ac:dyDescent="0.25">
      <c r="A22" s="42">
        <v>2065</v>
      </c>
      <c r="B22" s="12">
        <f>SUMIF('EDU projections'!$B$37:$B$63,'1'!$A22,'EDU projections'!$D$37:$D$63)</f>
        <v>0.15</v>
      </c>
      <c r="C22" s="13">
        <f>SUMIF('EDU projections'!$B$64:$B$90,'1'!$A22,'EDU projections'!$D$64:$D$90)</f>
        <v>0.01</v>
      </c>
      <c r="D22" s="13">
        <f>SUMIF('EDU projections'!$B$91:$B$117,'1'!$A22,'EDU projections'!$D$91:$D$117)</f>
        <v>0.02</v>
      </c>
      <c r="E22" s="13">
        <f>SUMIF('EDU projections'!$B$118:$B$144,'1'!$A22,'EDU projections'!$D$118:$D$144)</f>
        <v>0.08</v>
      </c>
      <c r="F22" s="13">
        <f>SUMIF('EDU projections'!$B$145:$B$171,'1'!$A22,'EDU projections'!$D$145:$D$171)</f>
        <v>0.05</v>
      </c>
      <c r="G22" s="13">
        <f>SUMIF('EDU projections'!$B$172:$B$198,'1'!$A22,'EDU projections'!$D$172:$D$198)</f>
        <v>0.35</v>
      </c>
      <c r="H22" s="14">
        <f>SUMIF('EDU projections'!$B$199:$B$225,'1'!$A22,'EDU projections'!$D$199:$D$225)</f>
        <v>0.34</v>
      </c>
      <c r="I22" s="12">
        <f t="shared" si="8"/>
        <v>0.15</v>
      </c>
      <c r="J22" s="13">
        <f t="shared" si="9"/>
        <v>0.16</v>
      </c>
      <c r="K22" s="13">
        <f t="shared" si="10"/>
        <v>0.69</v>
      </c>
      <c r="L22" s="24">
        <f>SUMIF(UN!$A$10:'UN'!$A$95,A22,UN!$B$10:'UN'!$B$95)</f>
        <v>53346.678</v>
      </c>
      <c r="M22" s="44"/>
      <c r="N22" s="61">
        <f t="shared" si="11"/>
        <v>8.0020016999999992</v>
      </c>
      <c r="O22" s="61">
        <f t="shared" si="3"/>
        <v>8.5354684799999987</v>
      </c>
      <c r="P22" s="62">
        <f t="shared" si="3"/>
        <v>36.809207819999997</v>
      </c>
      <c r="Q22" s="89">
        <f t="shared" si="12"/>
        <v>45.344676299999996</v>
      </c>
      <c r="R22" s="29">
        <f t="shared" si="13"/>
        <v>4.3125</v>
      </c>
      <c r="S22" s="12"/>
      <c r="T22" s="23"/>
      <c r="U22" s="25"/>
      <c r="V22" s="25"/>
      <c r="W22" s="25"/>
      <c r="X22" s="26"/>
      <c r="Y22" s="12"/>
      <c r="Z22" s="13"/>
      <c r="AA22" s="13"/>
      <c r="AB22" s="14"/>
      <c r="AC22" s="12"/>
      <c r="AD22" s="13"/>
      <c r="AE22" s="13"/>
      <c r="AF22" s="14"/>
      <c r="AG22" s="12"/>
      <c r="AH22" s="13"/>
      <c r="AI22" s="13"/>
      <c r="AJ22" s="14"/>
      <c r="AV22" s="209"/>
      <c r="AW22" s="132">
        <v>2040</v>
      </c>
      <c r="AX22" s="13"/>
      <c r="AY22" s="13"/>
      <c r="AZ22" s="151">
        <f t="shared" si="38"/>
        <v>8.6407751765916613E-2</v>
      </c>
      <c r="BA22" s="151">
        <f t="shared" si="39"/>
        <v>-2.5913915158103646E-7</v>
      </c>
      <c r="BB22" s="151">
        <f t="shared" si="40"/>
        <v>-3.0471095042947153E-2</v>
      </c>
      <c r="BC22" s="151">
        <f t="shared" si="41"/>
        <v>-3.0470843799984191E-2</v>
      </c>
      <c r="BD22" s="156">
        <v>27.085214260000001</v>
      </c>
      <c r="BE22" s="156">
        <v>14.579039740000001</v>
      </c>
      <c r="BF22" s="151">
        <f t="shared" ref="BF22" si="48">(BD22/BE22-$BF$10)/$BF$10</f>
        <v>1.5587430484403421E-2</v>
      </c>
      <c r="BG22" s="151">
        <f t="shared" ref="BG22" si="49">((BD22+BE22)-$BG$10)/$BG$10</f>
        <v>-6.4747048317212912E-3</v>
      </c>
      <c r="BH22" s="242">
        <v>51.183274240000003</v>
      </c>
      <c r="BI22" s="155">
        <f>(BH22-$BH$10)/$BH$10</f>
        <v>-2.3703808340282375E-2</v>
      </c>
      <c r="BJ22" s="198">
        <v>102.33579305000001</v>
      </c>
      <c r="BK22" s="44">
        <f t="shared" si="44"/>
        <v>-2.9745514729576816E-2</v>
      </c>
      <c r="BL22" s="242">
        <v>102.85700699</v>
      </c>
      <c r="BM22" s="155">
        <f t="shared" ref="BM22" si="50">(BL22-$BL$10)/$BL$10</f>
        <v>-2.4803840384771757E-2</v>
      </c>
      <c r="BN22" s="23">
        <f t="shared" si="46"/>
        <v>1138.9385179999999</v>
      </c>
      <c r="BO22" s="23">
        <f t="shared" si="47"/>
        <v>21.969578980155202</v>
      </c>
      <c r="BP22" s="13"/>
      <c r="BQ22" s="13"/>
      <c r="BR22" s="13"/>
    </row>
    <row r="23" spans="1:70" x14ac:dyDescent="0.25">
      <c r="A23" s="42">
        <v>2070</v>
      </c>
      <c r="B23" s="12">
        <f>SUMIF('EDU projections'!$B$37:$B$63,'1'!$A23,'EDU projections'!$D$37:$D$63)</f>
        <v>0.15</v>
      </c>
      <c r="C23" s="13">
        <f>SUMIF('EDU projections'!$B$64:$B$90,'1'!$A23,'EDU projections'!$D$64:$D$90)</f>
        <v>0.01</v>
      </c>
      <c r="D23" s="13">
        <f>SUMIF('EDU projections'!$B$91:$B$117,'1'!$A23,'EDU projections'!$D$91:$D$117)</f>
        <v>0.01</v>
      </c>
      <c r="E23" s="13">
        <f>SUMIF('EDU projections'!$B$118:$B$144,'1'!$A23,'EDU projections'!$D$118:$D$144)</f>
        <v>7.0000000000000007E-2</v>
      </c>
      <c r="F23" s="13">
        <f>SUMIF('EDU projections'!$B$145:$B$171,'1'!$A23,'EDU projections'!$D$145:$D$171)</f>
        <v>0.04</v>
      </c>
      <c r="G23" s="13">
        <f>SUMIF('EDU projections'!$B$172:$B$198,'1'!$A23,'EDU projections'!$D$172:$D$198)</f>
        <v>0.36</v>
      </c>
      <c r="H23" s="14">
        <f>SUMIF('EDU projections'!$B$199:$B$225,'1'!$A23,'EDU projections'!$D$199:$D$225)</f>
        <v>0.36</v>
      </c>
      <c r="I23" s="12">
        <f t="shared" si="8"/>
        <v>0.15</v>
      </c>
      <c r="J23" s="13">
        <f t="shared" si="9"/>
        <v>0.13</v>
      </c>
      <c r="K23" s="13">
        <f t="shared" si="10"/>
        <v>0.72</v>
      </c>
      <c r="L23" s="24">
        <f>SUMIF(UN!$A$10:'UN'!$A$95,A23,UN!$B$10:'UN'!$B$95)</f>
        <v>52451.05</v>
      </c>
      <c r="M23" s="44"/>
      <c r="N23" s="61">
        <f t="shared" si="11"/>
        <v>7.8676575</v>
      </c>
      <c r="O23" s="61">
        <f t="shared" si="3"/>
        <v>6.8186365000000002</v>
      </c>
      <c r="P23" s="62">
        <f t="shared" si="3"/>
        <v>37.764755999999998</v>
      </c>
      <c r="Q23" s="89">
        <f t="shared" si="12"/>
        <v>44.583392500000002</v>
      </c>
      <c r="R23" s="29">
        <f t="shared" si="13"/>
        <v>5.5384615384615383</v>
      </c>
      <c r="S23" s="12"/>
      <c r="T23" s="23"/>
      <c r="U23" s="25">
        <f>RCP!N2</f>
        <v>1047.7545196000001</v>
      </c>
      <c r="V23" s="25">
        <f>RCP!N3</f>
        <v>1303.3116792000001</v>
      </c>
      <c r="W23" s="25">
        <f>RCP!N4</f>
        <v>1396.7136004000001</v>
      </c>
      <c r="X23" s="26">
        <f>RCP!N5</f>
        <v>1913.3613316000001</v>
      </c>
      <c r="Y23" s="12">
        <f>$Z$5+$AB$3*(U23-U$9)^$AB$4*(1-$AB$5*$Z$5)</f>
        <v>21.626253140343703</v>
      </c>
      <c r="Z23" s="13">
        <f>$Z$5+$AB$3*(V23-V$9)^$AB$4*(1-$AB$5*$Z$5)</f>
        <v>22.459104374955118</v>
      </c>
      <c r="AA23" s="13">
        <f>$Z$5+$AB$3*(W23-W$9)^$AB$4*(1-$AB$5*$Z$5)</f>
        <v>22.69445028000543</v>
      </c>
      <c r="AB23" s="14">
        <f>$Z$5+$AB$3*(X23-X$9)^$AB$4*(1-$AB$5*$Z$5)</f>
        <v>23.7211144345641</v>
      </c>
      <c r="AC23" s="12">
        <f t="shared" ref="AC23:AF23" si="51">MAX(0.001, $AD$3+$AD$4*Y23+$AD$5*Y23^2)</f>
        <v>1.0067137455272115</v>
      </c>
      <c r="AD23" s="13">
        <f t="shared" si="51"/>
        <v>0.99520115141274124</v>
      </c>
      <c r="AE23" s="13">
        <f t="shared" si="51"/>
        <v>0.99011274960671036</v>
      </c>
      <c r="AF23" s="14">
        <f t="shared" si="51"/>
        <v>0.95845697471664071</v>
      </c>
      <c r="AG23" s="12">
        <f t="shared" si="23"/>
        <v>0.95440215397997652</v>
      </c>
      <c r="AH23" s="13">
        <f t="shared" si="17"/>
        <v>0.93658220054861485</v>
      </c>
      <c r="AI23" s="13">
        <f t="shared" si="17"/>
        <v>0.93096845332366551</v>
      </c>
      <c r="AJ23" s="14">
        <f t="shared" si="17"/>
        <v>0.90349923372445162</v>
      </c>
      <c r="AV23" s="209"/>
      <c r="AW23" s="132">
        <v>2060</v>
      </c>
      <c r="AX23" s="13"/>
      <c r="AY23" s="13"/>
      <c r="AZ23" s="151">
        <f t="shared" si="38"/>
        <v>0.10555671168219932</v>
      </c>
      <c r="BA23" s="151">
        <f t="shared" si="39"/>
        <v>-6.0151869668499218E-3</v>
      </c>
      <c r="BB23" s="151">
        <f t="shared" si="40"/>
        <v>-3.9169312472060742E-2</v>
      </c>
      <c r="BC23" s="151">
        <f t="shared" si="41"/>
        <v>-3.3354760626614473E-2</v>
      </c>
      <c r="BD23" s="156">
        <v>33.41770356</v>
      </c>
      <c r="BE23" s="156">
        <v>8.6457938999999993</v>
      </c>
      <c r="BF23" s="151">
        <f t="shared" ref="BF23" si="52">(BD23/BE23-$BF$11)/$BF$11</f>
        <v>1.7106465340924595E-2</v>
      </c>
      <c r="BG23" s="151">
        <f t="shared" ref="BG23" si="53">((BD23+BE23)-$BG$11)/$BG$11</f>
        <v>-8.7004853147582481E-3</v>
      </c>
      <c r="BH23" s="242">
        <v>96.688290969999997</v>
      </c>
      <c r="BI23" s="155">
        <f>(BH23-$BH$11)/$BH$11</f>
        <v>-3.5002477658714046E-2</v>
      </c>
      <c r="BJ23" s="198">
        <v>186.76056962000001</v>
      </c>
      <c r="BK23" s="44">
        <f t="shared" si="44"/>
        <v>-3.8797587791858865E-2</v>
      </c>
      <c r="BL23" s="242">
        <v>187.38134427</v>
      </c>
      <c r="BM23" s="155">
        <f t="shared" ref="BM23" si="54">(BL23-$BL$11)/$BL$11</f>
        <v>-3.5602640955748159E-2</v>
      </c>
      <c r="BN23" s="23">
        <f t="shared" si="46"/>
        <v>1265.6261140000001</v>
      </c>
      <c r="BO23" s="23">
        <f t="shared" si="47"/>
        <v>22.356813502906697</v>
      </c>
      <c r="BP23" s="13"/>
      <c r="BQ23" s="13"/>
      <c r="BR23" s="13"/>
    </row>
    <row r="24" spans="1:70" x14ac:dyDescent="0.25">
      <c r="A24" s="42">
        <v>2075</v>
      </c>
      <c r="B24" s="12">
        <f>SUMIF('EDU projections'!$B$37:$B$63,'1'!$A24,'EDU projections'!$D$37:$D$63)</f>
        <v>0.14000000000000001</v>
      </c>
      <c r="C24" s="13">
        <f>SUMIF('EDU projections'!$B$64:$B$90,'1'!$A24,'EDU projections'!$D$64:$D$90)</f>
        <v>0</v>
      </c>
      <c r="D24" s="13">
        <f>SUMIF('EDU projections'!$B$91:$B$117,'1'!$A24,'EDU projections'!$D$91:$D$117)</f>
        <v>0.01</v>
      </c>
      <c r="E24" s="13">
        <f>SUMIF('EDU projections'!$B$118:$B$144,'1'!$A24,'EDU projections'!$D$118:$D$144)</f>
        <v>0.06</v>
      </c>
      <c r="F24" s="13">
        <f>SUMIF('EDU projections'!$B$145:$B$171,'1'!$A24,'EDU projections'!$D$145:$D$171)</f>
        <v>0.04</v>
      </c>
      <c r="G24" s="13">
        <f>SUMIF('EDU projections'!$B$172:$B$198,'1'!$A24,'EDU projections'!$D$172:$D$198)</f>
        <v>0.36</v>
      </c>
      <c r="H24" s="14">
        <f>SUMIF('EDU projections'!$B$199:$B$225,'1'!$A24,'EDU projections'!$D$199:$D$225)</f>
        <v>0.38</v>
      </c>
      <c r="I24" s="12">
        <f t="shared" si="8"/>
        <v>0.14000000000000001</v>
      </c>
      <c r="J24" s="13">
        <f t="shared" si="9"/>
        <v>0.10999999999999999</v>
      </c>
      <c r="K24" s="13">
        <f t="shared" si="10"/>
        <v>0.74</v>
      </c>
      <c r="L24" s="24">
        <f>SUMIF(UN!$A$10:'UN'!$A$95,A24,UN!$B$10:'UN'!$B$95)</f>
        <v>51408.873</v>
      </c>
      <c r="M24" s="44"/>
      <c r="N24" s="61">
        <f t="shared" si="11"/>
        <v>7.1972422200000006</v>
      </c>
      <c r="O24" s="61">
        <f t="shared" si="3"/>
        <v>5.6549760299999985</v>
      </c>
      <c r="P24" s="62">
        <f t="shared" si="3"/>
        <v>38.042566019999995</v>
      </c>
      <c r="Q24" s="89">
        <f t="shared" si="12"/>
        <v>43.697542049999996</v>
      </c>
      <c r="R24" s="29">
        <f t="shared" si="13"/>
        <v>6.7272727272727284</v>
      </c>
      <c r="S24" s="12"/>
      <c r="T24" s="23"/>
      <c r="U24" s="25"/>
      <c r="V24" s="25"/>
      <c r="W24" s="25"/>
      <c r="X24" s="26"/>
      <c r="Y24" s="12"/>
      <c r="Z24" s="13"/>
      <c r="AA24" s="13"/>
      <c r="AB24" s="14"/>
      <c r="AC24" s="12"/>
      <c r="AD24" s="13"/>
      <c r="AE24" s="13"/>
      <c r="AF24" s="14"/>
      <c r="AG24" s="12"/>
      <c r="AH24" s="13"/>
      <c r="AI24" s="13"/>
      <c r="AJ24" s="14"/>
      <c r="AV24" s="209"/>
      <c r="AW24" s="132">
        <v>2080</v>
      </c>
      <c r="AX24" s="13"/>
      <c r="AY24" s="13"/>
      <c r="AZ24" s="151">
        <f t="shared" si="38"/>
        <v>0.11246534746678395</v>
      </c>
      <c r="BA24" s="151">
        <f t="shared" si="39"/>
        <v>-8.7209761578336438E-3</v>
      </c>
      <c r="BB24" s="151">
        <f t="shared" si="40"/>
        <v>-4.2480757633137529E-2</v>
      </c>
      <c r="BC24" s="151">
        <f t="shared" si="41"/>
        <v>-3.405678992828079E-2</v>
      </c>
      <c r="BD24" s="156">
        <v>35.087149760000003</v>
      </c>
      <c r="BE24" s="156">
        <v>4.3681656599999998</v>
      </c>
      <c r="BF24" s="151">
        <f t="shared" ref="BF24" si="55">(BD24/BE24-$BF$12)/$BF$12</f>
        <v>1.7476556831203104E-2</v>
      </c>
      <c r="BG24" s="151">
        <f t="shared" ref="BG24" si="56">((BD24+BE24)-$BG$12)/$BG$12</f>
        <v>-9.9734388121890758E-3</v>
      </c>
      <c r="BH24" s="242">
        <v>164.316744</v>
      </c>
      <c r="BI24" s="155">
        <f>(BH24-$BH$12)/$BH$12</f>
        <v>-4.0234482053552255E-2</v>
      </c>
      <c r="BJ24" s="198">
        <v>311.87031622000001</v>
      </c>
      <c r="BK24" s="44">
        <f t="shared" si="44"/>
        <v>-4.2302951320342452E-2</v>
      </c>
      <c r="BL24" s="242">
        <v>312.44415895999998</v>
      </c>
      <c r="BM24" s="155">
        <f t="shared" ref="BM24" si="57">(BL24-$BL$12)/$BL$12</f>
        <v>-4.054078458012423E-2</v>
      </c>
      <c r="BN24" s="23">
        <f t="shared" si="46"/>
        <v>1317.5372820000002</v>
      </c>
      <c r="BO24" s="23">
        <f t="shared" si="47"/>
        <v>22.496521470994963</v>
      </c>
      <c r="BP24" s="13"/>
      <c r="BQ24" s="13"/>
      <c r="BR24" s="13"/>
    </row>
    <row r="25" spans="1:70" ht="15.75" thickBot="1" x14ac:dyDescent="0.3">
      <c r="A25" s="42">
        <v>2080</v>
      </c>
      <c r="B25" s="12">
        <f>SUMIF('EDU projections'!$B$37:$B$63,'1'!$A25,'EDU projections'!$D$37:$D$63)</f>
        <v>0.13</v>
      </c>
      <c r="C25" s="13">
        <f>SUMIF('EDU projections'!$B$64:$B$90,'1'!$A25,'EDU projections'!$D$64:$D$90)</f>
        <v>0</v>
      </c>
      <c r="D25" s="13">
        <f>SUMIF('EDU projections'!$B$91:$B$117,'1'!$A25,'EDU projections'!$D$91:$D$117)</f>
        <v>0.01</v>
      </c>
      <c r="E25" s="13">
        <f>SUMIF('EDU projections'!$B$118:$B$144,'1'!$A25,'EDU projections'!$D$118:$D$144)</f>
        <v>0.06</v>
      </c>
      <c r="F25" s="13">
        <f>SUMIF('EDU projections'!$B$145:$B$171,'1'!$A25,'EDU projections'!$D$145:$D$171)</f>
        <v>0.04</v>
      </c>
      <c r="G25" s="13">
        <f>SUMIF('EDU projections'!$B$172:$B$198,'1'!$A25,'EDU projections'!$D$172:$D$198)</f>
        <v>0.36</v>
      </c>
      <c r="H25" s="14">
        <f>SUMIF('EDU projections'!$B$199:$B$225,'1'!$A25,'EDU projections'!$D$199:$D$225)</f>
        <v>0.4</v>
      </c>
      <c r="I25" s="12">
        <f t="shared" si="8"/>
        <v>0.13</v>
      </c>
      <c r="J25" s="13">
        <f t="shared" si="9"/>
        <v>0.10999999999999999</v>
      </c>
      <c r="K25" s="13">
        <f t="shared" si="10"/>
        <v>0.76</v>
      </c>
      <c r="L25" s="24">
        <f>SUMIF(UN!$A$10:'UN'!$A$95,A25,UN!$B$10:'UN'!$B$95)</f>
        <v>50244.654999999999</v>
      </c>
      <c r="M25" s="45">
        <f>(L25-L21)/L21</f>
        <v>-7.0801337219356608E-2</v>
      </c>
      <c r="N25" s="61">
        <f t="shared" si="11"/>
        <v>6.5318051500000003</v>
      </c>
      <c r="O25" s="61">
        <f t="shared" si="3"/>
        <v>5.5269120499999991</v>
      </c>
      <c r="P25" s="62">
        <f t="shared" si="3"/>
        <v>38.185937799999998</v>
      </c>
      <c r="Q25" s="96">
        <f t="shared" si="12"/>
        <v>43.712849849999998</v>
      </c>
      <c r="R25" s="175">
        <f t="shared" si="13"/>
        <v>6.9090909090909101</v>
      </c>
      <c r="S25" s="12"/>
      <c r="T25" s="23"/>
      <c r="U25" s="63">
        <f>RCP!O2</f>
        <v>1033.9607608000001</v>
      </c>
      <c r="V25" s="63">
        <f>RCP!O3</f>
        <v>1317.5372820000002</v>
      </c>
      <c r="W25" s="63">
        <f>RCP!O4</f>
        <v>1517.8381256</v>
      </c>
      <c r="X25" s="64">
        <f>RCP!O5</f>
        <v>2183.46326</v>
      </c>
      <c r="Y25" s="12">
        <f>$Z$5+$AB$3*(U25-U$9)^$AB$4*(1-$AB$5*$Z$5)</f>
        <v>21.566704129615371</v>
      </c>
      <c r="Z25" s="13">
        <f>$Z$5+$AB$3*(V25-V$9)^$AB$4*(1-$AB$5*$Z$5)</f>
        <v>22.496521470994963</v>
      </c>
      <c r="AA25" s="13">
        <f>$Z$5+$AB$3*(W25-W$9)^$AB$4*(1-$AB$5*$Z$5)</f>
        <v>22.969789636276907</v>
      </c>
      <c r="AB25" s="14">
        <f>$Z$5+$AB$3*(X25-X$9)^$AB$4*(1-$AB$5*$Z$5)</f>
        <v>24.152510769325993</v>
      </c>
      <c r="AC25" s="142">
        <f t="shared" ref="AC25:AF25" si="58">MAX(0.001, $AD$3+$AD$4*Y25+$AD$5*Y25^2)</f>
        <v>1.0071489647166425</v>
      </c>
      <c r="AD25" s="143">
        <f t="shared" si="58"/>
        <v>0.99444622151340534</v>
      </c>
      <c r="AE25" s="143">
        <f t="shared" si="58"/>
        <v>0.98313318564914542</v>
      </c>
      <c r="AF25" s="144">
        <f t="shared" si="58"/>
        <v>0.94056374877682636</v>
      </c>
      <c r="AG25" s="142">
        <f t="shared" si="23"/>
        <v>0.95555405823618167</v>
      </c>
      <c r="AH25" s="143">
        <f t="shared" si="17"/>
        <v>0.93570671760124124</v>
      </c>
      <c r="AI25" s="143">
        <f t="shared" si="17"/>
        <v>0.92407732825208044</v>
      </c>
      <c r="AJ25" s="144">
        <f t="shared" si="17"/>
        <v>0.89051017568254109</v>
      </c>
      <c r="AV25" s="210"/>
      <c r="AW25" s="133">
        <v>2100</v>
      </c>
      <c r="AX25" s="16"/>
      <c r="AY25" s="16"/>
      <c r="AZ25" s="152">
        <f t="shared" si="38"/>
        <v>0.11466223683795269</v>
      </c>
      <c r="BA25" s="152">
        <f t="shared" si="39"/>
        <v>-9.6409211068455396E-3</v>
      </c>
      <c r="BB25" s="152">
        <f t="shared" si="40"/>
        <v>-4.3553023325494912E-2</v>
      </c>
      <c r="BC25" s="152">
        <f t="shared" si="41"/>
        <v>-3.4242228845471193E-2</v>
      </c>
      <c r="BD25" s="157">
        <v>33.557144469999997</v>
      </c>
      <c r="BE25" s="157">
        <v>2.0108307600000002</v>
      </c>
      <c r="BF25" s="152">
        <f t="shared" ref="BF25" si="59">(BD25/BE25-$BF$13)/$BF$13</f>
        <v>1.7573129923837662E-2</v>
      </c>
      <c r="BG25" s="152">
        <f t="shared" ref="BG25" si="60">((BD25+BE25)-$BG$13)/$BG$13</f>
        <v>-1.0639655810153196E-2</v>
      </c>
      <c r="BH25" s="243">
        <v>0</v>
      </c>
      <c r="BI25" s="17"/>
      <c r="BJ25" s="199">
        <v>492.95823053999999</v>
      </c>
      <c r="BK25" s="200">
        <f t="shared" si="44"/>
        <v>-4.3457192914319293E-2</v>
      </c>
      <c r="BL25" s="243">
        <v>493.42530943000003</v>
      </c>
      <c r="BM25" s="17">
        <f t="shared" ref="BM25" si="61">(BL25-$BL$13)/$BL$13</f>
        <v>-4.2550866729072961E-2</v>
      </c>
      <c r="BN25" s="23">
        <f t="shared" si="46"/>
        <v>1334.7340224</v>
      </c>
      <c r="BO25" s="23">
        <f t="shared" si="47"/>
        <v>22.540947456056376</v>
      </c>
      <c r="BP25" s="13"/>
      <c r="BQ25" s="13"/>
      <c r="BR25" s="13"/>
    </row>
    <row r="26" spans="1:70" x14ac:dyDescent="0.25">
      <c r="A26" s="42">
        <v>2085</v>
      </c>
      <c r="B26" s="12">
        <f>SUMIF('EDU projections'!$B$37:$B$63,'1'!$A26,'EDU projections'!$D$37:$D$63)</f>
        <v>0.13</v>
      </c>
      <c r="C26" s="13">
        <f>SUMIF('EDU projections'!$B$64:$B$90,'1'!$A26,'EDU projections'!$D$64:$D$90)</f>
        <v>0</v>
      </c>
      <c r="D26" s="13">
        <f>SUMIF('EDU projections'!$B$91:$B$117,'1'!$A26,'EDU projections'!$D$91:$D$117)</f>
        <v>0.01</v>
      </c>
      <c r="E26" s="13">
        <f>SUMIF('EDU projections'!$B$118:$B$144,'1'!$A26,'EDU projections'!$D$118:$D$144)</f>
        <v>0.05</v>
      </c>
      <c r="F26" s="13">
        <f>SUMIF('EDU projections'!$B$145:$B$171,'1'!$A26,'EDU projections'!$D$145:$D$171)</f>
        <v>0.03</v>
      </c>
      <c r="G26" s="13">
        <f>SUMIF('EDU projections'!$B$172:$B$198,'1'!$A26,'EDU projections'!$D$172:$D$198)</f>
        <v>0.36</v>
      </c>
      <c r="H26" s="14">
        <f>SUMIF('EDU projections'!$B$199:$B$225,'1'!$A26,'EDU projections'!$D$199:$D$225)</f>
        <v>0.42</v>
      </c>
      <c r="I26" s="12">
        <f t="shared" si="8"/>
        <v>0.13</v>
      </c>
      <c r="J26" s="13">
        <f t="shared" si="9"/>
        <v>0.09</v>
      </c>
      <c r="K26" s="13">
        <f t="shared" si="10"/>
        <v>0.78</v>
      </c>
      <c r="L26" s="24">
        <f>SUMIF(UN!$A$10:'UN'!$A$95,A26,UN!$B$10:'UN'!$B$95)</f>
        <v>49014.957000000002</v>
      </c>
      <c r="M26" s="44"/>
      <c r="N26" s="61">
        <f t="shared" si="11"/>
        <v>6.3719444100000002</v>
      </c>
      <c r="O26" s="61">
        <f t="shared" si="3"/>
        <v>4.4113461300000001</v>
      </c>
      <c r="P26" s="62">
        <f t="shared" si="3"/>
        <v>38.23166646</v>
      </c>
      <c r="Q26" s="89">
        <f t="shared" si="12"/>
        <v>42.643012589999998</v>
      </c>
      <c r="R26" s="29">
        <f t="shared" si="13"/>
        <v>8.6666666666666661</v>
      </c>
      <c r="S26" s="12"/>
      <c r="T26" s="23"/>
      <c r="U26" s="25"/>
      <c r="V26" s="25"/>
      <c r="W26" s="25"/>
      <c r="X26" s="26"/>
      <c r="Y26" s="12"/>
      <c r="Z26" s="13"/>
      <c r="AA26" s="13"/>
      <c r="AB26" s="14"/>
      <c r="AC26" s="12"/>
      <c r="AD26" s="13"/>
      <c r="AE26" s="13"/>
      <c r="AF26" s="14"/>
      <c r="AG26" s="12"/>
      <c r="AH26" s="13"/>
      <c r="AI26" s="13"/>
      <c r="AJ26" s="14"/>
      <c r="AV26" s="208" t="s">
        <v>126</v>
      </c>
      <c r="AW26" s="131">
        <v>2000</v>
      </c>
      <c r="AX26" s="10"/>
      <c r="AY26" s="10"/>
      <c r="AZ26" s="150">
        <f>(SUMIF($A$3:$A$29,AW26,$AA$3:$AA$29)-$AZ$8)/$AZ$8</f>
        <v>0</v>
      </c>
      <c r="BA26" s="150">
        <f>(SUMIF($A$3:$A$29,AW26,$AE$3:$AE$29)-$BA8)/$BA8</f>
        <v>0</v>
      </c>
      <c r="BB26" s="150">
        <f>(SUMIF($A$3:$A$29,AW26,$AI$3:$AI$29)-$BB8)/$BB8</f>
        <v>0</v>
      </c>
      <c r="BC26" s="150">
        <f>(SUMIF($A$3:$A$29,AW26,$AI$3:$AI$29)/SUMIF($A$3:$A$29,AW26,$AE$3:$AE$29)-$BC8)/$BC8</f>
        <v>0</v>
      </c>
      <c r="BD26" s="158">
        <v>7.95740947</v>
      </c>
      <c r="BE26" s="158">
        <v>18.772590529999999</v>
      </c>
      <c r="BF26" s="150">
        <f t="shared" ref="BF26" si="62">(BD26/BE26-$BF$8)/$BF$8</f>
        <v>0</v>
      </c>
      <c r="BG26" s="150">
        <f t="shared" ref="BG26" si="63">((BD26+BE26)-$BG$8)/$BG$8</f>
        <v>0</v>
      </c>
      <c r="BH26" s="241">
        <v>8.6221229099999999</v>
      </c>
      <c r="BI26" s="154">
        <f>(BH26-$BH$8)/$BH$8</f>
        <v>1.8601298122177467E-3</v>
      </c>
      <c r="BJ26" s="197">
        <v>20.387873809999999</v>
      </c>
      <c r="BK26" s="194">
        <f>(BJ26-$BJ8)/$BJ8</f>
        <v>0</v>
      </c>
      <c r="BL26" s="241">
        <v>20.387873809999999</v>
      </c>
      <c r="BM26" s="154">
        <f t="shared" ref="BM26" si="64">(BL26-$BL$8)/$BL$8</f>
        <v>0</v>
      </c>
      <c r="BN26" s="27">
        <f>SUMIF($A$3:$A$29,AW26,$W$3:$W$29)</f>
        <v>881.61855719999994</v>
      </c>
      <c r="BO26" s="27">
        <f>SUMIF($A$3:$A$29,AW26,$AA$3:$AA$29)</f>
        <v>20.222222222222221</v>
      </c>
      <c r="BP26" s="13"/>
      <c r="BQ26" s="13"/>
      <c r="BR26" s="13"/>
    </row>
    <row r="27" spans="1:70" x14ac:dyDescent="0.25">
      <c r="A27" s="42">
        <v>2090</v>
      </c>
      <c r="B27" s="12">
        <f>SUMIF('EDU projections'!$B$37:$B$63,'1'!$A27,'EDU projections'!$D$37:$D$63)</f>
        <v>0.12</v>
      </c>
      <c r="C27" s="13">
        <f>SUMIF('EDU projections'!$B$64:$B$90,'1'!$A27,'EDU projections'!$D$64:$D$90)</f>
        <v>0</v>
      </c>
      <c r="D27" s="13">
        <f>SUMIF('EDU projections'!$B$91:$B$117,'1'!$A27,'EDU projections'!$D$91:$D$117)</f>
        <v>0.01</v>
      </c>
      <c r="E27" s="13">
        <f>SUMIF('EDU projections'!$B$118:$B$144,'1'!$A27,'EDU projections'!$D$118:$D$144)</f>
        <v>0.04</v>
      </c>
      <c r="F27" s="13">
        <f>SUMIF('EDU projections'!$B$145:$B$171,'1'!$A27,'EDU projections'!$D$145:$D$171)</f>
        <v>0.03</v>
      </c>
      <c r="G27" s="13">
        <f>SUMIF('EDU projections'!$B$172:$B$198,'1'!$A27,'EDU projections'!$D$172:$D$198)</f>
        <v>0.35</v>
      </c>
      <c r="H27" s="14">
        <f>SUMIF('EDU projections'!$B$199:$B$225,'1'!$A27,'EDU projections'!$D$199:$D$225)</f>
        <v>0.44</v>
      </c>
      <c r="I27" s="12">
        <f t="shared" si="8"/>
        <v>0.12</v>
      </c>
      <c r="J27" s="13">
        <f t="shared" si="9"/>
        <v>0.08</v>
      </c>
      <c r="K27" s="13">
        <f t="shared" si="10"/>
        <v>0.79</v>
      </c>
      <c r="L27" s="24">
        <f>SUMIF(UN!$A$10:'UN'!$A$95,A27,UN!$B$10:'UN'!$B$95)</f>
        <v>47765.46</v>
      </c>
      <c r="M27" s="44"/>
      <c r="N27" s="61">
        <f t="shared" si="11"/>
        <v>5.7318552</v>
      </c>
      <c r="O27" s="61">
        <f t="shared" si="3"/>
        <v>3.8212368000000003</v>
      </c>
      <c r="P27" s="62">
        <f t="shared" si="3"/>
        <v>37.734713400000004</v>
      </c>
      <c r="Q27" s="89">
        <f t="shared" si="12"/>
        <v>41.555950200000005</v>
      </c>
      <c r="R27" s="29">
        <f t="shared" si="13"/>
        <v>9.875</v>
      </c>
      <c r="S27" s="12"/>
      <c r="T27" s="23"/>
      <c r="U27" s="25">
        <f>RCP!P2</f>
        <v>1020.555386</v>
      </c>
      <c r="V27" s="25">
        <f>RCP!P3</f>
        <v>1322.5722184000001</v>
      </c>
      <c r="W27" s="25">
        <f>RCP!P4</f>
        <v>1620.290878</v>
      </c>
      <c r="X27" s="26">
        <f>RCP!Q4</f>
        <v>1695.7205416000002</v>
      </c>
      <c r="Y27" s="12">
        <f>$Z$5+$AB$3*(U27-U$9)^$AB$4*(1-$AB$5*$Z$5)</f>
        <v>21.506188260960204</v>
      </c>
      <c r="Z27" s="13">
        <f>$Z$5+$AB$3*(V27-V$9)^$AB$4*(1-$AB$5*$Z$5)</f>
        <v>22.509618036812792</v>
      </c>
      <c r="AA27" s="13">
        <f>$Z$5+$AB$3*(W27-W$9)^$AB$4*(1-$AB$5*$Z$5)</f>
        <v>23.182761031098771</v>
      </c>
      <c r="AB27" s="14">
        <f>$Z$5+$AB$3*(X27-X$9)^$AB$4*(1-$AB$5*$Z$5)</f>
        <v>23.330245425105975</v>
      </c>
      <c r="AC27" s="12">
        <f t="shared" ref="AC27:AF27" si="65">MAX(0.001, $AD$3+$AD$4*Y27+$AD$5*Y27^2)</f>
        <v>1.0075382097099466</v>
      </c>
      <c r="AD27" s="13">
        <f t="shared" si="65"/>
        <v>0.99417715494692249</v>
      </c>
      <c r="AE27" s="13">
        <f t="shared" si="65"/>
        <v>0.97697541169568947</v>
      </c>
      <c r="AF27" s="14">
        <f t="shared" si="65"/>
        <v>0.97232302428418782</v>
      </c>
      <c r="AG27" s="12">
        <f t="shared" si="23"/>
        <v>0.95670795379033269</v>
      </c>
      <c r="AH27" s="13">
        <f t="shared" si="17"/>
        <v>0.93539876336964545</v>
      </c>
      <c r="AI27" s="13">
        <f t="shared" si="17"/>
        <v>0.91850794173032879</v>
      </c>
      <c r="AJ27" s="14">
        <f t="shared" si="17"/>
        <v>0.91452882533841784</v>
      </c>
      <c r="AV27" s="209"/>
      <c r="AW27" s="132">
        <v>2020</v>
      </c>
      <c r="AX27" s="13"/>
      <c r="AY27" s="13"/>
      <c r="AZ27" s="151">
        <f t="shared" ref="AZ27:AZ31" si="66">(SUMIF($A$3:$A$29,AW27,$AA$3:$AA$29)-$AZ$8)/$AZ$8</f>
        <v>5.734884206873446E-2</v>
      </c>
      <c r="BA27" s="151">
        <f t="shared" ref="BA27:BA31" si="67">(SUMIF($A$3:$A$29,AW27,$AE$3:$AE$29)-$BA9)/$BA9</f>
        <v>4.9588861538084946E-3</v>
      </c>
      <c r="BB27" s="151">
        <f t="shared" ref="BB27:BB31" si="68">(SUMIF($A$3:$A$29,AW27,$AI$3:$AI$29)-$BB9)/$BB9</f>
        <v>-1.8619697850495463E-2</v>
      </c>
      <c r="BC27" s="151">
        <f t="shared" ref="BC27:BC31" si="69">(SUMIF($A$3:$A$29,AW27,$AI$3:$AI$29)/SUMIF($A$3:$A$29,AW27,$AE$3:$AE$29)-$BC9)/$BC9</f>
        <v>-2.3462237439925818E-2</v>
      </c>
      <c r="BD27" s="156">
        <v>17.187434289999999</v>
      </c>
      <c r="BE27" s="156">
        <v>19.288329839999999</v>
      </c>
      <c r="BF27" s="151">
        <f t="shared" ref="BF27" si="70">(BD27/BE27-$BF$9)/$BF$9</f>
        <v>1.1928104185361806E-2</v>
      </c>
      <c r="BG27" s="151">
        <f t="shared" ref="BG27" si="71">((BD27+BE27)-$BG$9)/$BG$9</f>
        <v>-3.2129058413259358E-3</v>
      </c>
      <c r="BH27" s="242">
        <v>23.11829543</v>
      </c>
      <c r="BI27" s="155">
        <f>(BH27-$BH$9)/$BH$9</f>
        <v>-1.018707979530799E-2</v>
      </c>
      <c r="BJ27" s="198">
        <v>49.246304070000001</v>
      </c>
      <c r="BK27" s="44">
        <f t="shared" ref="BK27:BK31" si="72">(BJ27-$BJ9)/$BJ9</f>
        <v>-1.7478045282856805E-2</v>
      </c>
      <c r="BL27" s="242">
        <v>49.52913264</v>
      </c>
      <c r="BM27" s="155">
        <f t="shared" ref="BM27" si="73">(BL27-$BL$9)/$BL$9</f>
        <v>-1.1835281126357663E-2</v>
      </c>
      <c r="BN27" s="23">
        <f t="shared" ref="BN27:BN31" si="74">SUMIF($A$3:$A$29,AW27,$W$3:$W$29)</f>
        <v>994.96747360000006</v>
      </c>
      <c r="BO27" s="23">
        <f t="shared" ref="BO27:BO31" si="75">SUMIF($A$3:$A$29,AW27,$AA$3:$AA$29)</f>
        <v>21.381943250723296</v>
      </c>
      <c r="BP27" s="13"/>
      <c r="BQ27" s="13"/>
      <c r="BR27" s="13"/>
    </row>
    <row r="28" spans="1:70" x14ac:dyDescent="0.25">
      <c r="A28" s="42">
        <v>2095</v>
      </c>
      <c r="B28" s="12">
        <f>SUMIF('EDU projections'!$B$37:$B$63,'1'!$A28,'EDU projections'!$D$37:$D$63)</f>
        <v>0.12</v>
      </c>
      <c r="C28" s="13">
        <f>SUMIF('EDU projections'!$B$64:$B$90,'1'!$A28,'EDU projections'!$D$64:$D$90)</f>
        <v>0</v>
      </c>
      <c r="D28" s="13">
        <f>SUMIF('EDU projections'!$B$91:$B$117,'1'!$A28,'EDU projections'!$D$91:$D$117)</f>
        <v>0</v>
      </c>
      <c r="E28" s="13">
        <f>SUMIF('EDU projections'!$B$118:$B$144,'1'!$A28,'EDU projections'!$D$118:$D$144)</f>
        <v>0.04</v>
      </c>
      <c r="F28" s="13">
        <f>SUMIF('EDU projections'!$B$145:$B$171,'1'!$A28,'EDU projections'!$D$145:$D$171)</f>
        <v>0.02</v>
      </c>
      <c r="G28" s="13">
        <f>SUMIF('EDU projections'!$B$172:$B$198,'1'!$A28,'EDU projections'!$D$172:$D$198)</f>
        <v>0.35</v>
      </c>
      <c r="H28" s="14">
        <f>SUMIF('EDU projections'!$B$199:$B$225,'1'!$A28,'EDU projections'!$D$199:$D$225)</f>
        <v>0.46</v>
      </c>
      <c r="I28" s="12">
        <f t="shared" si="8"/>
        <v>0.12</v>
      </c>
      <c r="J28" s="13">
        <f t="shared" si="9"/>
        <v>0.06</v>
      </c>
      <c r="K28" s="13">
        <f t="shared" si="10"/>
        <v>0.81</v>
      </c>
      <c r="L28" s="24">
        <f>SUMIF(UN!$A$10:'UN'!$A$95,A28,UN!$B$10:'UN'!$B$95)</f>
        <v>46521.811000000002</v>
      </c>
      <c r="M28" s="44"/>
      <c r="N28" s="61">
        <f t="shared" si="11"/>
        <v>5.5826173200000007</v>
      </c>
      <c r="O28" s="61">
        <f t="shared" si="3"/>
        <v>2.7913086600000003</v>
      </c>
      <c r="P28" s="62">
        <f t="shared" si="3"/>
        <v>37.682666910000009</v>
      </c>
      <c r="Q28" s="89">
        <f t="shared" si="12"/>
        <v>40.473975570000007</v>
      </c>
      <c r="R28" s="29">
        <f t="shared" si="13"/>
        <v>13.500000000000002</v>
      </c>
      <c r="S28" s="12"/>
      <c r="T28" s="23"/>
      <c r="U28" s="25"/>
      <c r="V28" s="25"/>
      <c r="W28" s="25"/>
      <c r="X28" s="26"/>
      <c r="Y28" s="12"/>
      <c r="Z28" s="13"/>
      <c r="AA28" s="13"/>
      <c r="AB28" s="14"/>
      <c r="AC28" s="12"/>
      <c r="AD28" s="13"/>
      <c r="AE28" s="13"/>
      <c r="AF28" s="14"/>
      <c r="AG28" s="12"/>
      <c r="AH28" s="13"/>
      <c r="AI28" s="13"/>
      <c r="AJ28" s="14"/>
      <c r="AV28" s="209"/>
      <c r="AW28" s="132">
        <v>2040</v>
      </c>
      <c r="AX28" s="13"/>
      <c r="AY28" s="13"/>
      <c r="AZ28" s="151">
        <f t="shared" si="66"/>
        <v>8.1924475170832026E-2</v>
      </c>
      <c r="BA28" s="151">
        <f t="shared" si="67"/>
        <v>1.0927147211824953E-3</v>
      </c>
      <c r="BB28" s="151">
        <f t="shared" si="68"/>
        <v>-2.8536587915995289E-2</v>
      </c>
      <c r="BC28" s="151">
        <f t="shared" si="69"/>
        <v>-2.9596961601533588E-2</v>
      </c>
      <c r="BD28" s="156">
        <v>27.085126349999999</v>
      </c>
      <c r="BE28" s="156">
        <v>14.58556997</v>
      </c>
      <c r="BF28" s="151">
        <f t="shared" ref="BF28" si="76">(BD28/BE28-$BF$10)/$BF$10</f>
        <v>1.5129438370868149E-2</v>
      </c>
      <c r="BG28" s="151">
        <f t="shared" ref="BG28" si="77">((BD28+BE28)-$BG$10)/$BG$10</f>
        <v>-6.3210813471974497E-3</v>
      </c>
      <c r="BH28" s="242">
        <v>51.2772863</v>
      </c>
      <c r="BI28" s="155">
        <f>(BH28-$BH$10)/$BH$10</f>
        <v>-2.1910573782490977E-2</v>
      </c>
      <c r="BJ28" s="198">
        <v>102.53785449</v>
      </c>
      <c r="BK28" s="44">
        <f t="shared" si="72"/>
        <v>-2.7829752779460235E-2</v>
      </c>
      <c r="BL28" s="242">
        <v>103.04488573</v>
      </c>
      <c r="BM28" s="155">
        <f t="shared" ref="BM28" si="78">(BL28-$BL$10)/$BL$10</f>
        <v>-2.3022545837292234E-2</v>
      </c>
      <c r="BN28" s="23">
        <f t="shared" si="74"/>
        <v>1112.9290860000001</v>
      </c>
      <c r="BO28" s="23">
        <f t="shared" si="75"/>
        <v>21.878917164565713</v>
      </c>
      <c r="BP28" s="13"/>
      <c r="BQ28" s="13"/>
      <c r="BR28" s="13"/>
    </row>
    <row r="29" spans="1:70" ht="15.75" thickBot="1" x14ac:dyDescent="0.3">
      <c r="A29" s="43">
        <v>2100</v>
      </c>
      <c r="B29" s="15">
        <f>SUMIF('EDU projections'!$B$37:$B$63,'1'!$A29,'EDU projections'!$D$37:$D$63)</f>
        <v>0.12</v>
      </c>
      <c r="C29" s="16">
        <f>SUMIF('EDU projections'!$B$64:$B$90,'1'!$A29,'EDU projections'!$D$64:$D$90)</f>
        <v>0</v>
      </c>
      <c r="D29" s="16">
        <f>SUMIF('EDU projections'!$B$91:$B$117,'1'!$A29,'EDU projections'!$D$91:$D$117)</f>
        <v>0</v>
      </c>
      <c r="E29" s="16">
        <f>SUMIF('EDU projections'!$B$118:$B$144,'1'!$A29,'EDU projections'!$D$118:$D$144)</f>
        <v>0.03</v>
      </c>
      <c r="F29" s="16">
        <f>SUMIF('EDU projections'!$B$145:$B$171,'1'!$A29,'EDU projections'!$D$145:$D$171)</f>
        <v>0.02</v>
      </c>
      <c r="G29" s="16">
        <f>SUMIF('EDU projections'!$B$172:$B$198,'1'!$A29,'EDU projections'!$D$172:$D$198)</f>
        <v>0.34</v>
      </c>
      <c r="H29" s="17">
        <f>SUMIF('EDU projections'!$B$199:$B$225,'1'!$A29,'EDU projections'!$D$199:$D$225)</f>
        <v>0.48</v>
      </c>
      <c r="I29" s="15">
        <f t="shared" si="8"/>
        <v>0.12</v>
      </c>
      <c r="J29" s="16">
        <f t="shared" si="9"/>
        <v>0.05</v>
      </c>
      <c r="K29" s="16">
        <f t="shared" si="10"/>
        <v>0.82000000000000006</v>
      </c>
      <c r="L29" s="28">
        <f>SUMIF(UN!$A$10:'UN'!$A$95,A29,UN!$B$10:'UN'!$B$95)</f>
        <v>45320.995999999999</v>
      </c>
      <c r="M29" s="117">
        <f>(L29-L25)/L25</f>
        <v>-9.7993687089701381E-2</v>
      </c>
      <c r="N29" s="86">
        <f t="shared" si="11"/>
        <v>5.4385195199999998</v>
      </c>
      <c r="O29" s="86">
        <f t="shared" si="3"/>
        <v>2.2660498000000002</v>
      </c>
      <c r="P29" s="87">
        <f t="shared" si="3"/>
        <v>37.163216720000001</v>
      </c>
      <c r="Q29" s="97">
        <f t="shared" si="12"/>
        <v>39.429266519999999</v>
      </c>
      <c r="R29" s="176">
        <f t="shared" si="13"/>
        <v>16.399999999999999</v>
      </c>
      <c r="S29" s="15"/>
      <c r="T29" s="53"/>
      <c r="U29" s="65">
        <f>RCP!Q2</f>
        <v>1007.40863</v>
      </c>
      <c r="V29" s="65">
        <f>RCP!Q3</f>
        <v>1334.7340224</v>
      </c>
      <c r="W29" s="65">
        <f>RCP!P5</f>
        <v>2475.6255480000004</v>
      </c>
      <c r="X29" s="66">
        <f>RCP!Q5</f>
        <v>2784.5165440000001</v>
      </c>
      <c r="Y29" s="15">
        <f>$Z$5+$AB$3*(U29-U$9)^$AB$4*(1-$AB$5*$Z$5)</f>
        <v>21.443931944334214</v>
      </c>
      <c r="Z29" s="16">
        <f>$Z$5+$AB$3*(V29-V$9)^$AB$4*(1-$AB$5*$Z$5)</f>
        <v>22.540947456056376</v>
      </c>
      <c r="AA29" s="16">
        <f>$Z$5+$AB$3*(W29-W$9)^$AB$4*(1-$AB$5*$Z$5)</f>
        <v>24.57122771874468</v>
      </c>
      <c r="AB29" s="17">
        <f>$Z$5+$AB$3*(X29-X$9)^$AB$4*(1-$AB$5*$Z$5)</f>
        <v>24.973961451813267</v>
      </c>
      <c r="AC29" s="145">
        <f t="shared" ref="AC29:AF29" si="79">MAX(0.001, $AD$3+$AD$4*Y29+$AD$5*Y29^2)</f>
        <v>1.0078828530523056</v>
      </c>
      <c r="AD29" s="146">
        <f t="shared" si="79"/>
        <v>0.99352333728349462</v>
      </c>
      <c r="AE29" s="146">
        <f t="shared" si="79"/>
        <v>0.92059794664659034</v>
      </c>
      <c r="AF29" s="147">
        <f t="shared" si="79"/>
        <v>0.89897924780290417</v>
      </c>
      <c r="AG29" s="145">
        <f t="shared" si="23"/>
        <v>0.95787745591029139</v>
      </c>
      <c r="AH29" s="146">
        <f t="shared" si="17"/>
        <v>0.93465887838611272</v>
      </c>
      <c r="AI29" s="146">
        <f t="shared" si="17"/>
        <v>0.8770841848048383</v>
      </c>
      <c r="AJ29" s="147">
        <f t="shared" si="17"/>
        <v>0.86340978977275484</v>
      </c>
      <c r="AK29" s="68"/>
      <c r="AL29" s="67"/>
      <c r="AM29" s="67"/>
      <c r="AN29" s="67"/>
      <c r="AV29" s="209"/>
      <c r="AW29" s="132">
        <v>2060</v>
      </c>
      <c r="AX29" s="13"/>
      <c r="AY29" s="13"/>
      <c r="AZ29" s="151">
        <f t="shared" si="66"/>
        <v>0.10834200760334818</v>
      </c>
      <c r="BA29" s="151">
        <f t="shared" si="67"/>
        <v>-7.071881412922091E-3</v>
      </c>
      <c r="BB29" s="151">
        <f t="shared" si="68"/>
        <v>-4.049330579218869E-2</v>
      </c>
      <c r="BC29" s="151">
        <f t="shared" si="69"/>
        <v>-3.3659460089442143E-2</v>
      </c>
      <c r="BD29" s="156">
        <v>33.423251720000003</v>
      </c>
      <c r="BE29" s="156">
        <v>8.64589958</v>
      </c>
      <c r="BF29" s="151">
        <f t="shared" ref="BF29" si="80">(BD29/BE29-$BF$11)/$BF$11</f>
        <v>1.7262895714664245E-2</v>
      </c>
      <c r="BG29" s="151">
        <f t="shared" ref="BG29" si="81">((BD29+BE29)-$BG$11)/$BG$11</f>
        <v>-8.5672427365955893E-3</v>
      </c>
      <c r="BH29" s="242">
        <v>96.563540649999993</v>
      </c>
      <c r="BI29" s="155">
        <f>(BH29-$BH$11)/$BH$11</f>
        <v>-3.6247548271748656E-2</v>
      </c>
      <c r="BJ29" s="198">
        <v>186.51049079000001</v>
      </c>
      <c r="BK29" s="44">
        <f t="shared" si="72"/>
        <v>-4.0084670901143052E-2</v>
      </c>
      <c r="BL29" s="242">
        <v>187.13603237000001</v>
      </c>
      <c r="BM29" s="155">
        <f t="shared" ref="BM29" si="82">(BL29-$BL$11)/$BL$11</f>
        <v>-3.6865190060749932E-2</v>
      </c>
      <c r="BN29" s="23">
        <f t="shared" si="74"/>
        <v>1286.1588864</v>
      </c>
      <c r="BO29" s="23">
        <f t="shared" si="75"/>
        <v>22.413138375978818</v>
      </c>
      <c r="BP29" s="13"/>
      <c r="BQ29" s="13"/>
      <c r="BR29" s="13"/>
    </row>
    <row r="30" spans="1:70" x14ac:dyDescent="0.25">
      <c r="Q30" s="121">
        <f>(Q29-Q25)/Q25</f>
        <v>-9.7993687089701367E-2</v>
      </c>
      <c r="AV30" s="209"/>
      <c r="AW30" s="132">
        <v>2080</v>
      </c>
      <c r="AX30" s="13"/>
      <c r="AY30" s="13"/>
      <c r="AZ30" s="151">
        <f t="shared" si="66"/>
        <v>0.13586871827742952</v>
      </c>
      <c r="BA30" s="151">
        <f t="shared" si="67"/>
        <v>-1.9997981294570255E-2</v>
      </c>
      <c r="BB30" s="151">
        <f t="shared" si="68"/>
        <v>-5.438124297681883E-2</v>
      </c>
      <c r="BC30" s="151">
        <f t="shared" si="69"/>
        <v>-3.508488862876883E-2</v>
      </c>
      <c r="BD30" s="156">
        <v>35.092558179999997</v>
      </c>
      <c r="BE30" s="156">
        <v>4.3665154199999998</v>
      </c>
      <c r="BF30" s="151">
        <f t="shared" ref="BF30" si="83">(BD30/BE30-$BF$12)/$BF$12</f>
        <v>1.8017988030094665E-2</v>
      </c>
      <c r="BG30" s="151">
        <f t="shared" ref="BG30" si="84">((BD30+BE30)-$BG$12)/$BG$12</f>
        <v>-9.8791372464276696E-3</v>
      </c>
      <c r="BH30" s="242">
        <v>162.26885780000001</v>
      </c>
      <c r="BI30" s="155">
        <f>(BH30-$BH$12)/$BH$12</f>
        <v>-5.2196078368036046E-2</v>
      </c>
      <c r="BJ30" s="198">
        <v>308.00171833000002</v>
      </c>
      <c r="BK30" s="44">
        <f t="shared" si="72"/>
        <v>-5.4182712198796154E-2</v>
      </c>
      <c r="BL30" s="242">
        <v>308.58573976000002</v>
      </c>
      <c r="BM30" s="155">
        <f t="shared" ref="BM30" si="85">(BL30-$BL$12)/$BL$12</f>
        <v>-5.2389288551891178E-2</v>
      </c>
      <c r="BN30" s="23">
        <f t="shared" si="74"/>
        <v>1517.8381256</v>
      </c>
      <c r="BO30" s="23">
        <f t="shared" si="75"/>
        <v>22.969789636276907</v>
      </c>
      <c r="BP30" s="13"/>
      <c r="BQ30" s="13"/>
      <c r="BR30" s="13"/>
    </row>
    <row r="31" spans="1:70" ht="15.75" thickBot="1" x14ac:dyDescent="0.3">
      <c r="AV31" s="210"/>
      <c r="AW31" s="133">
        <v>2100</v>
      </c>
      <c r="AX31" s="16"/>
      <c r="AY31" s="16"/>
      <c r="AZ31" s="152">
        <f t="shared" si="66"/>
        <v>0.21506071136649521</v>
      </c>
      <c r="BA31" s="152">
        <f t="shared" si="67"/>
        <v>-8.233405270107591E-2</v>
      </c>
      <c r="BB31" s="152">
        <f t="shared" si="68"/>
        <v>-0.10246985692349816</v>
      </c>
      <c r="BC31" s="152">
        <f t="shared" si="69"/>
        <v>-2.1942411921996616E-2</v>
      </c>
      <c r="BD31" s="157">
        <v>33.556463669999999</v>
      </c>
      <c r="BE31" s="157">
        <v>2.0235526799999999</v>
      </c>
      <c r="BF31" s="152">
        <f t="shared" ref="BF31" si="86">(BD31/BE31-$BF$13)/$BF$13</f>
        <v>1.1155211439870728E-2</v>
      </c>
      <c r="BG31" s="152">
        <f t="shared" ref="BG31" si="87">((BD31+BE31)-$BG$13)/$BG$13</f>
        <v>-1.0304719493126372E-2</v>
      </c>
      <c r="BH31" s="243">
        <v>0</v>
      </c>
      <c r="BI31" s="17"/>
      <c r="BJ31" s="199">
        <v>462.57345807000002</v>
      </c>
      <c r="BK31" s="200">
        <f t="shared" si="72"/>
        <v>-0.10241621570875691</v>
      </c>
      <c r="BL31" s="243">
        <v>462.85325818000001</v>
      </c>
      <c r="BM31" s="17">
        <f t="shared" ref="BM31" si="88">(BL31-$BL$13)/$BL$13</f>
        <v>-0.10187328779709773</v>
      </c>
      <c r="BN31" s="53">
        <f t="shared" si="74"/>
        <v>2475.6255480000004</v>
      </c>
      <c r="BO31" s="53">
        <f t="shared" si="75"/>
        <v>24.57122771874468</v>
      </c>
      <c r="BP31" s="13"/>
      <c r="BQ31" s="13"/>
      <c r="BR31" s="13"/>
    </row>
    <row r="32" spans="1:70" x14ac:dyDescent="0.25">
      <c r="AV32" s="208" t="s">
        <v>127</v>
      </c>
      <c r="AW32" s="131">
        <v>2000</v>
      </c>
      <c r="AX32" s="10"/>
      <c r="AY32" s="10"/>
      <c r="AZ32" s="150">
        <f>(SUMIF($A$3:$A$29,AW32,$AB$3:$AB$29)-$AZ$8)/$AZ$8</f>
        <v>0</v>
      </c>
      <c r="BA32" s="150">
        <f>(SUMIF($A$3:$A$29,AW32,$AF$3:$AF$29)-$BA8)/$BA8</f>
        <v>0</v>
      </c>
      <c r="BB32" s="150">
        <f>(SUMIF($A$3:$A$29,AW32,$AJ$3:$AJ$29)-$BB8)/$BB8</f>
        <v>0</v>
      </c>
      <c r="BC32" s="150">
        <f>(SUMIF($A$3:$A$29,AW32,$AJ$3:$AJ$29)/SUMIF($A$3:$A$29,AW32,$AF$3:$AF$29)-$BC8)/$BC8</f>
        <v>0</v>
      </c>
      <c r="BD32" s="158">
        <v>7.95740947</v>
      </c>
      <c r="BE32" s="158">
        <v>18.772590529999999</v>
      </c>
      <c r="BF32" s="150">
        <f t="shared" ref="BF32" si="89">(BD32/BE32-$BF$8)/$BF$8</f>
        <v>0</v>
      </c>
      <c r="BG32" s="150">
        <f t="shared" ref="BG32" si="90">((BD32+BE32)-$BG$8)/$BG$8</f>
        <v>0</v>
      </c>
      <c r="BH32" s="241">
        <v>8.62445518</v>
      </c>
      <c r="BI32" s="154">
        <f>(BH32-$BH$8)/$BH$8</f>
        <v>2.1311313218630406E-3</v>
      </c>
      <c r="BJ32" s="197">
        <v>20.387873809999999</v>
      </c>
      <c r="BK32" s="194">
        <f>(BJ32-$BJ8)/$BJ8</f>
        <v>0</v>
      </c>
      <c r="BL32" s="241">
        <v>20.387873809999999</v>
      </c>
      <c r="BM32" s="154">
        <f t="shared" ref="BM32" si="91">(BL32-$BL$8)/$BL$8</f>
        <v>0</v>
      </c>
      <c r="BN32" s="23">
        <f>SUMIF($A$3:$A$29,AW32,$X$3:$X$29)</f>
        <v>881.61855719999994</v>
      </c>
      <c r="BO32" s="23">
        <f>SUMIF($A$3:$A$29,AW32,$AB$3:$AB$29)</f>
        <v>20.222222222222221</v>
      </c>
      <c r="BP32" s="13"/>
      <c r="BQ32" s="13"/>
      <c r="BR32" s="13"/>
    </row>
    <row r="33" spans="48:70" x14ac:dyDescent="0.25">
      <c r="AV33" s="209"/>
      <c r="AW33" s="132">
        <v>2020</v>
      </c>
      <c r="AX33" s="13"/>
      <c r="AY33" s="13"/>
      <c r="AZ33" s="151">
        <f t="shared" ref="AZ33:AZ37" si="92">(SUMIF($A$3:$A$29,AW33,$AB$3:$AB$29)-$AZ$8)/$AZ$8</f>
        <v>6.9761716244411354E-2</v>
      </c>
      <c r="BA33" s="151">
        <f t="shared" ref="BA33:BA37" si="93">(SUMIF($A$3:$A$29,AW33,$AF$3:$AF$29)-$BA9)/$BA9</f>
        <v>3.4553887110771713E-3</v>
      </c>
      <c r="BB33" s="151">
        <f t="shared" ref="BB33:BB37" si="94">(SUMIF($A$3:$A$29,AW33,$AJ$3:$AJ$29)-$BB9)/$BB9</f>
        <v>-2.3483296029171583E-2</v>
      </c>
      <c r="BC33" s="151">
        <f t="shared" ref="BC33:BC37" si="95">(SUMIF($A$3:$A$29,AW33,$AJ$3:$AJ$29)/SUMIF($A$3:$A$29,AW33,$AF$3:$AF$29)-$BC9)/$BC9</f>
        <v>-2.6845921645655878E-2</v>
      </c>
      <c r="BD33" s="156">
        <v>17.195092750000001</v>
      </c>
      <c r="BE33" s="156">
        <v>19.26357892</v>
      </c>
      <c r="BF33" s="151">
        <f t="shared" ref="BF33" si="96">(BD33/BE33-$BF$9)/$BF$9</f>
        <v>1.3679764975506993E-2</v>
      </c>
      <c r="BG33" s="151">
        <f t="shared" ref="BG33" si="97">((BD33+BE33)-$BG$9)/$BG$9</f>
        <v>-3.6799980035271728E-3</v>
      </c>
      <c r="BH33" s="242">
        <v>23.032359450000001</v>
      </c>
      <c r="BI33" s="155">
        <f>(BH33-$BH$9)/$BH$9</f>
        <v>-1.3866440307505173E-2</v>
      </c>
      <c r="BJ33" s="198">
        <v>49.01159732</v>
      </c>
      <c r="BK33" s="44">
        <f t="shared" ref="BK33:BK37" si="98">(BJ33-$BJ9)/$BJ9</f>
        <v>-2.216072227050488E-2</v>
      </c>
      <c r="BL33" s="242">
        <v>49.33420289</v>
      </c>
      <c r="BM33" s="155">
        <f t="shared" ref="BM33" si="99">(BL33-$BL$9)/$BL$9</f>
        <v>-1.5724359964239355E-2</v>
      </c>
      <c r="BN33" s="23">
        <f t="shared" ref="BN33:BN37" si="100">SUMIF($A$3:$A$29,AW33,$X$3:$X$29)</f>
        <v>1049.3453252000002</v>
      </c>
      <c r="BO33" s="23">
        <f t="shared" ref="BO33:BO37" si="101">SUMIF($A$3:$A$29,AW33,$AB$3:$AB$29)</f>
        <v>21.632959150720318</v>
      </c>
      <c r="BP33" s="13"/>
      <c r="BQ33" s="13"/>
      <c r="BR33" s="13"/>
    </row>
    <row r="34" spans="48:70" x14ac:dyDescent="0.25">
      <c r="AV34" s="209"/>
      <c r="AW34" s="132">
        <v>2040</v>
      </c>
      <c r="AX34" s="13"/>
      <c r="AY34" s="13"/>
      <c r="AZ34" s="151">
        <f t="shared" si="92"/>
        <v>0.10623907948266743</v>
      </c>
      <c r="BA34" s="151">
        <f t="shared" si="93"/>
        <v>-6.2697957370043897E-3</v>
      </c>
      <c r="BB34" s="151">
        <f t="shared" si="94"/>
        <v>-3.9492295581896361E-2</v>
      </c>
      <c r="BC34" s="151">
        <f t="shared" si="95"/>
        <v>-3.3432112360448553E-2</v>
      </c>
      <c r="BD34" s="156">
        <v>27.080107470000002</v>
      </c>
      <c r="BE34" s="156">
        <v>14.553936849999999</v>
      </c>
      <c r="BF34" s="151">
        <f t="shared" ref="BF34" si="102">(BD34/BE34-$BF$10)/$BF$10</f>
        <v>1.7147319290200858E-2</v>
      </c>
      <c r="BG34" s="151">
        <f t="shared" ref="BG34" si="103">((BD34+BE34)-$BG$10)/$BG$10</f>
        <v>-7.1950844943197848E-3</v>
      </c>
      <c r="BH34" s="242">
        <v>50.737026229999998</v>
      </c>
      <c r="BI34" s="155">
        <f>(BH34-$BH$10)/$BH$10</f>
        <v>-3.2215773218806185E-2</v>
      </c>
      <c r="BJ34" s="198">
        <v>101.38822161</v>
      </c>
      <c r="BK34" s="44">
        <f t="shared" si="98"/>
        <v>-3.8729521325636097E-2</v>
      </c>
      <c r="BL34" s="242">
        <v>101.95577976</v>
      </c>
      <c r="BM34" s="155">
        <f t="shared" ref="BM34" si="104">(BL34-$BL$10)/$BL$10</f>
        <v>-3.334845352641333E-2</v>
      </c>
      <c r="BN34" s="23">
        <f t="shared" si="100"/>
        <v>1270.6069692000001</v>
      </c>
      <c r="BO34" s="23">
        <f t="shared" si="101"/>
        <v>22.370612496205052</v>
      </c>
      <c r="BP34" s="13"/>
      <c r="BQ34" s="13"/>
      <c r="BR34" s="13"/>
    </row>
    <row r="35" spans="48:70" x14ac:dyDescent="0.25">
      <c r="AV35" s="209"/>
      <c r="AW35" s="132">
        <v>2060</v>
      </c>
      <c r="AX35" s="13"/>
      <c r="AY35" s="13"/>
      <c r="AZ35" s="151">
        <f t="shared" si="92"/>
        <v>0.15081190373245132</v>
      </c>
      <c r="BA35" s="151">
        <f t="shared" si="93"/>
        <v>-2.8903571877804343E-2</v>
      </c>
      <c r="BB35" s="151">
        <f t="shared" si="94"/>
        <v>-6.2531292684594009E-2</v>
      </c>
      <c r="BC35" s="151">
        <f t="shared" si="95"/>
        <v>-3.4628611364388898E-2</v>
      </c>
      <c r="BD35" s="156">
        <v>33.395111249999999</v>
      </c>
      <c r="BE35" s="156">
        <v>8.6342312900000007</v>
      </c>
      <c r="BF35" s="151">
        <f t="shared" ref="BF35" si="105">(BD35/BE35-$BF$11)/$BF$11</f>
        <v>1.7779988863593936E-2</v>
      </c>
      <c r="BG35" s="151">
        <f t="shared" ref="BG35" si="106">((BD35+BE35)-$BG$11)/$BG$11</f>
        <v>-9.5054054394413875E-3</v>
      </c>
      <c r="BH35" s="242">
        <v>94.345133649999994</v>
      </c>
      <c r="BI35" s="155">
        <f>(BH35-$BH$11)/$BH$11</f>
        <v>-5.8388360122573368E-2</v>
      </c>
      <c r="BJ35" s="198">
        <v>182.23123122999999</v>
      </c>
      <c r="BK35" s="44">
        <f t="shared" si="98"/>
        <v>-6.2108777059664215E-2</v>
      </c>
      <c r="BL35" s="242">
        <v>182.86049223000001</v>
      </c>
      <c r="BM35" s="155">
        <f t="shared" ref="BM35" si="107">(BL35-$BL$11)/$BL$11</f>
        <v>-5.8870153444737373E-2</v>
      </c>
      <c r="BN35" s="23">
        <f t="shared" si="100"/>
        <v>1665.4800136000001</v>
      </c>
      <c r="BO35" s="23">
        <f t="shared" si="101"/>
        <v>23.271974053256237</v>
      </c>
      <c r="BP35" s="13"/>
      <c r="BQ35" s="13"/>
      <c r="BR35" s="13"/>
    </row>
    <row r="36" spans="48:70" x14ac:dyDescent="0.25">
      <c r="AV36" s="209"/>
      <c r="AW36" s="132">
        <v>2080</v>
      </c>
      <c r="AX36" s="13"/>
      <c r="AY36" s="13"/>
      <c r="AZ36" s="151">
        <f t="shared" si="92"/>
        <v>0.19435492815348321</v>
      </c>
      <c r="BA36" s="151">
        <f t="shared" si="93"/>
        <v>-6.2431839370961292E-2</v>
      </c>
      <c r="BB36" s="151">
        <f t="shared" si="94"/>
        <v>-8.8730888963324858E-2</v>
      </c>
      <c r="BC36" s="151">
        <f t="shared" si="95"/>
        <v>-2.8050280178796731E-2</v>
      </c>
      <c r="BD36" s="156">
        <v>35.054632859999998</v>
      </c>
      <c r="BE36" s="156">
        <v>4.3776322900000002</v>
      </c>
      <c r="BF36" s="151">
        <f t="shared" ref="BF36" si="108">(BD36/BE36-$BF$12)/$BF$12</f>
        <v>1.4335359817174152E-2</v>
      </c>
      <c r="BG36" s="151">
        <f t="shared" ref="BG36" si="109">((BD36+BE36)-$BG$12)/$BG$12</f>
        <v>-1.0551824241367238E-2</v>
      </c>
      <c r="BH36" s="242">
        <v>156.30188385</v>
      </c>
      <c r="BI36" s="155">
        <f>(BH36-$BH$12)/$BH$12</f>
        <v>-8.7048861500683319E-2</v>
      </c>
      <c r="BJ36" s="198">
        <v>296.81116738999998</v>
      </c>
      <c r="BK36" s="44">
        <f t="shared" si="98"/>
        <v>-8.8546859894010885E-2</v>
      </c>
      <c r="BL36" s="242">
        <v>297.26030236999998</v>
      </c>
      <c r="BM36" s="155">
        <f t="shared" ref="BM36" si="110">(BL36-$BL$12)/$BL$12</f>
        <v>-8.7167648015117713E-2</v>
      </c>
      <c r="BN36" s="23">
        <f t="shared" si="100"/>
        <v>2183.46326</v>
      </c>
      <c r="BO36" s="23">
        <f t="shared" si="101"/>
        <v>24.152510769325993</v>
      </c>
      <c r="BP36" s="13"/>
      <c r="BQ36" s="13"/>
      <c r="BR36" s="13"/>
    </row>
    <row r="37" spans="48:70" ht="15.75" thickBot="1" x14ac:dyDescent="0.3">
      <c r="AV37" s="210"/>
      <c r="AW37" s="133">
        <v>2100</v>
      </c>
      <c r="AX37" s="16"/>
      <c r="AY37" s="16"/>
      <c r="AZ37" s="152">
        <f t="shared" si="92"/>
        <v>0.23497611574900776</v>
      </c>
      <c r="BA37" s="152">
        <f t="shared" si="93"/>
        <v>-0.10388389845733344</v>
      </c>
      <c r="BB37" s="152">
        <f t="shared" si="94"/>
        <v>-0.11646301965777024</v>
      </c>
      <c r="BC37" s="152">
        <f t="shared" si="95"/>
        <v>-1.4037378838279766E-2</v>
      </c>
      <c r="BD37" s="157">
        <v>33.531187410000001</v>
      </c>
      <c r="BE37" s="157">
        <v>2.0301865000000001</v>
      </c>
      <c r="BF37" s="152">
        <f t="shared" ref="BF37" si="111">(BD37/BE37-$BF$13)/$BF$13</f>
        <v>7.0920098404246845E-3</v>
      </c>
      <c r="BG37" s="152">
        <f t="shared" ref="BG37" si="112">((BD37+BE37)-$BG$13)/$BG$13</f>
        <v>-1.0823278414056526E-2</v>
      </c>
      <c r="BH37" s="243">
        <v>0</v>
      </c>
      <c r="BI37" s="17"/>
      <c r="BJ37" s="199">
        <v>455.34933817000001</v>
      </c>
      <c r="BK37" s="200">
        <f t="shared" si="98"/>
        <v>-0.11643399551192589</v>
      </c>
      <c r="BL37" s="243">
        <v>455.52507677</v>
      </c>
      <c r="BM37" s="17">
        <f t="shared" ref="BM37" si="113">(BL37-$BL$13)/$BL$13</f>
        <v>-0.11609298995944094</v>
      </c>
      <c r="BN37" s="53">
        <f t="shared" si="100"/>
        <v>2784.5165440000001</v>
      </c>
      <c r="BO37" s="53">
        <f t="shared" si="101"/>
        <v>24.973961451813267</v>
      </c>
      <c r="BP37" s="13"/>
      <c r="BQ37" s="13"/>
      <c r="BR37" s="13"/>
    </row>
    <row r="42" spans="48:70" ht="61.5" x14ac:dyDescent="0.9">
      <c r="AV42" s="126"/>
      <c r="AW42" s="126"/>
      <c r="AX42" s="126"/>
      <c r="AY42" s="126"/>
      <c r="AZ42" s="126"/>
      <c r="BA42" s="126"/>
      <c r="BB42" s="244" t="s">
        <v>193</v>
      </c>
    </row>
    <row r="72" spans="51:51" x14ac:dyDescent="0.25">
      <c r="AY72" s="187"/>
    </row>
  </sheetData>
  <mergeCells count="13">
    <mergeCell ref="AV32:AV37"/>
    <mergeCell ref="AV2:AV7"/>
    <mergeCell ref="AV8:AV13"/>
    <mergeCell ref="AV14:AV19"/>
    <mergeCell ref="AV20:AV25"/>
    <mergeCell ref="AV26:AV31"/>
    <mergeCell ref="AC1:AF1"/>
    <mergeCell ref="AG1:AJ1"/>
    <mergeCell ref="B1:H1"/>
    <mergeCell ref="I1:K1"/>
    <mergeCell ref="N1:P1"/>
    <mergeCell ref="U1:X1"/>
    <mergeCell ref="Y1:AB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</sheetPr>
  <dimension ref="A1:BR72"/>
  <sheetViews>
    <sheetView topLeftCell="AW16" zoomScale="85" zoomScaleNormal="85" workbookViewId="0">
      <selection activeCell="BG47" sqref="BG47"/>
    </sheetView>
  </sheetViews>
  <sheetFormatPr defaultRowHeight="15" x14ac:dyDescent="0.25"/>
  <cols>
    <col min="6" max="6" width="10" bestFit="1" customWidth="1"/>
    <col min="11" max="11" width="11" bestFit="1" customWidth="1"/>
    <col min="12" max="12" width="10.7109375" bestFit="1" customWidth="1"/>
    <col min="13" max="13" width="11.42578125" bestFit="1" customWidth="1"/>
    <col min="14" max="16" width="9.5703125" bestFit="1" customWidth="1"/>
    <col min="19" max="19" width="14" bestFit="1" customWidth="1"/>
    <col min="20" max="20" width="16" bestFit="1" customWidth="1"/>
    <col min="21" max="24" width="7.42578125" bestFit="1" customWidth="1"/>
    <col min="37" max="37" width="15.28515625" bestFit="1" customWidth="1"/>
  </cols>
  <sheetData>
    <row r="1" spans="1:70" ht="15.75" thickBot="1" x14ac:dyDescent="0.3">
      <c r="B1" s="220" t="s">
        <v>112</v>
      </c>
      <c r="C1" s="221"/>
      <c r="D1" s="221"/>
      <c r="E1" s="221"/>
      <c r="F1" s="221"/>
      <c r="G1" s="221"/>
      <c r="H1" s="222"/>
      <c r="I1" s="223" t="s">
        <v>112</v>
      </c>
      <c r="J1" s="223"/>
      <c r="K1" s="223"/>
      <c r="L1" s="56" t="s">
        <v>114</v>
      </c>
      <c r="M1" s="55" t="s">
        <v>136</v>
      </c>
      <c r="N1" s="211" t="s">
        <v>147</v>
      </c>
      <c r="O1" s="212"/>
      <c r="P1" s="213"/>
      <c r="S1" s="59" t="s">
        <v>115</v>
      </c>
      <c r="T1" s="78" t="s">
        <v>145</v>
      </c>
      <c r="U1" s="218" t="s">
        <v>139</v>
      </c>
      <c r="V1" s="218"/>
      <c r="W1" s="218"/>
      <c r="X1" s="219"/>
      <c r="Y1" s="217" t="s">
        <v>130</v>
      </c>
      <c r="Z1" s="218"/>
      <c r="AA1" s="218"/>
      <c r="AB1" s="219"/>
      <c r="AC1" s="211" t="s">
        <v>164</v>
      </c>
      <c r="AD1" s="212"/>
      <c r="AE1" s="212"/>
      <c r="AF1" s="213"/>
      <c r="AG1" s="214" t="s">
        <v>171</v>
      </c>
      <c r="AH1" s="215"/>
      <c r="AI1" s="215"/>
      <c r="AJ1" s="216"/>
      <c r="AV1" s="9"/>
      <c r="AW1" s="10"/>
      <c r="AX1" s="128" t="s">
        <v>157</v>
      </c>
      <c r="AY1" s="129" t="s">
        <v>158</v>
      </c>
      <c r="AZ1" s="129" t="s">
        <v>172</v>
      </c>
      <c r="BA1" s="129" t="s">
        <v>159</v>
      </c>
      <c r="BB1" s="129" t="s">
        <v>160</v>
      </c>
      <c r="BC1" s="129" t="s">
        <v>185</v>
      </c>
      <c r="BD1" s="129" t="s">
        <v>9</v>
      </c>
      <c r="BE1" s="129" t="s">
        <v>8</v>
      </c>
      <c r="BF1" s="129" t="s">
        <v>11</v>
      </c>
      <c r="BG1" s="129" t="s">
        <v>10</v>
      </c>
      <c r="BH1" s="129" t="s">
        <v>161</v>
      </c>
      <c r="BI1" s="130" t="s">
        <v>176</v>
      </c>
      <c r="BJ1" s="196" t="s">
        <v>187</v>
      </c>
      <c r="BK1" s="195" t="s">
        <v>188</v>
      </c>
      <c r="BL1" s="129" t="s">
        <v>180</v>
      </c>
      <c r="BM1" s="130" t="s">
        <v>181</v>
      </c>
      <c r="BN1" s="188" t="s">
        <v>177</v>
      </c>
      <c r="BO1" s="153" t="s">
        <v>130</v>
      </c>
      <c r="BP1" s="153"/>
      <c r="BQ1" s="153"/>
      <c r="BR1" s="153"/>
    </row>
    <row r="2" spans="1:70" ht="15.75" thickBot="1" x14ac:dyDescent="0.3">
      <c r="B2" s="18" t="s">
        <v>0</v>
      </c>
      <c r="C2" s="19" t="s">
        <v>1</v>
      </c>
      <c r="D2" s="19" t="s">
        <v>2</v>
      </c>
      <c r="E2" s="19" t="s">
        <v>3</v>
      </c>
      <c r="F2" s="19" t="s">
        <v>4</v>
      </c>
      <c r="G2" s="19" t="s">
        <v>5</v>
      </c>
      <c r="H2" s="20" t="s">
        <v>6</v>
      </c>
      <c r="I2" s="181" t="s">
        <v>7</v>
      </c>
      <c r="J2" s="182" t="s">
        <v>8</v>
      </c>
      <c r="K2" s="182" t="s">
        <v>9</v>
      </c>
      <c r="L2" s="57" t="s">
        <v>135</v>
      </c>
      <c r="M2" s="54" t="s">
        <v>137</v>
      </c>
      <c r="N2" s="182" t="s">
        <v>7</v>
      </c>
      <c r="O2" s="182" t="s">
        <v>8</v>
      </c>
      <c r="P2" s="182" t="s">
        <v>9</v>
      </c>
      <c r="Q2" s="46" t="s">
        <v>10</v>
      </c>
      <c r="R2" s="58" t="s">
        <v>11</v>
      </c>
      <c r="S2" s="60" t="s">
        <v>138</v>
      </c>
      <c r="T2" s="79" t="s">
        <v>146</v>
      </c>
      <c r="U2" s="179" t="str">
        <f>RCP!A2</f>
        <v>RCP 2.6</v>
      </c>
      <c r="V2" s="179" t="str">
        <f>RCP!A3</f>
        <v>RCP 4.5</v>
      </c>
      <c r="W2" s="179" t="str">
        <f>RCP!A4</f>
        <v>RCP 6.0</v>
      </c>
      <c r="X2" s="179" t="str">
        <f>RCP!A5</f>
        <v>RCP 8.5</v>
      </c>
      <c r="Y2" s="178" t="str">
        <f>U2</f>
        <v>RCP 2.6</v>
      </c>
      <c r="Z2" s="179" t="str">
        <f t="shared" ref="Z2:AB2" si="0">V2</f>
        <v>RCP 4.5</v>
      </c>
      <c r="AA2" s="179" t="str">
        <f t="shared" si="0"/>
        <v>RCP 6.0</v>
      </c>
      <c r="AB2" s="180" t="str">
        <f t="shared" si="0"/>
        <v>RCP 8.5</v>
      </c>
      <c r="AC2" s="181" t="str">
        <f>Y2</f>
        <v>RCP 2.6</v>
      </c>
      <c r="AD2" s="182" t="str">
        <f t="shared" ref="AD2:AF2" si="1">Z2</f>
        <v>RCP 4.5</v>
      </c>
      <c r="AE2" s="182" t="str">
        <f t="shared" si="1"/>
        <v>RCP 6.0</v>
      </c>
      <c r="AF2" s="183" t="str">
        <f t="shared" si="1"/>
        <v>RCP 8.5</v>
      </c>
      <c r="AG2" s="184" t="str">
        <f>AC2</f>
        <v>RCP 2.6</v>
      </c>
      <c r="AH2" s="185" t="str">
        <f t="shared" ref="AH2:AJ2" si="2">AD2</f>
        <v>RCP 4.5</v>
      </c>
      <c r="AI2" s="185" t="str">
        <f t="shared" si="2"/>
        <v>RCP 6.0</v>
      </c>
      <c r="AJ2" s="186" t="str">
        <f t="shared" si="2"/>
        <v>RCP 8.5</v>
      </c>
      <c r="AV2" s="208" t="s">
        <v>162</v>
      </c>
      <c r="AW2" s="131">
        <v>2000</v>
      </c>
      <c r="AX2" s="235">
        <v>121.47001889000001</v>
      </c>
      <c r="AY2" s="235">
        <v>52.4927390203</v>
      </c>
      <c r="AZ2" s="13"/>
      <c r="BA2" s="13"/>
      <c r="BB2" s="13"/>
      <c r="BC2" s="13"/>
      <c r="BD2" s="13">
        <f>SUMIF($A$3:$A$29,AW2,$P$3:$P$29)</f>
        <v>8.7775564799999994</v>
      </c>
      <c r="BE2" s="13">
        <f>SUMIF($A$3:$A$29,AW2,$O$3:$O$29)</f>
        <v>17.954092799999998</v>
      </c>
      <c r="BF2" s="13">
        <f>BD2/BE2</f>
        <v>0.48888888888888893</v>
      </c>
      <c r="BG2" s="13">
        <f>BD2+BE2</f>
        <v>26.731649279999999</v>
      </c>
      <c r="BH2" s="13"/>
      <c r="BI2" s="14"/>
      <c r="BJ2" s="14"/>
      <c r="BK2" s="23"/>
      <c r="BL2" s="13"/>
      <c r="BM2" s="14"/>
      <c r="BN2" s="27"/>
      <c r="BO2" s="27"/>
      <c r="BP2" s="13"/>
      <c r="BQ2" s="13"/>
      <c r="BR2" s="13"/>
    </row>
    <row r="3" spans="1:70" x14ac:dyDescent="0.25">
      <c r="A3" s="41">
        <v>1970</v>
      </c>
      <c r="B3" s="9">
        <f>SUMIF('EDU projections'!$B$37:$B$63,'1'!$A3,'EDU projections'!$D$37:$D$63)</f>
        <v>0.46</v>
      </c>
      <c r="C3" s="10">
        <f>SUMIF('EDU projections'!$B$64:$B$90,'1'!$A3,'EDU projections'!$D$64:$D$90)</f>
        <v>0.14000000000000001</v>
      </c>
      <c r="D3" s="10">
        <f>SUMIF('EDU projections'!$B$91:$B$117,'1'!$A3,'EDU projections'!$D$91:$D$117)</f>
        <v>0.17</v>
      </c>
      <c r="E3" s="10">
        <f>SUMIF('EDU projections'!$B$118:$B$144,'1'!$A3,'EDU projections'!$D$118:$D$144)</f>
        <v>0.14000000000000001</v>
      </c>
      <c r="F3" s="10">
        <f>SUMIF('EDU projections'!$B$145:$B$171,'1'!$A3,'EDU projections'!$D$145:$D$171)</f>
        <v>0.02</v>
      </c>
      <c r="G3" s="10">
        <f>SUMIF('EDU projections'!$B$172:$B$198,'1'!$A3,'EDU projections'!$D$172:$D$198)</f>
        <v>0.04</v>
      </c>
      <c r="H3" s="11">
        <f>SUMIF('EDU projections'!$B$199:$B$225,'1'!$A3,'EDU projections'!$D$199:$D$225)</f>
        <v>0.02</v>
      </c>
      <c r="I3" s="9">
        <f>B3</f>
        <v>0.46</v>
      </c>
      <c r="J3" s="10">
        <f>C3+D3+E3+F3</f>
        <v>0.47000000000000008</v>
      </c>
      <c r="K3" s="10">
        <f>G3+H3</f>
        <v>0.06</v>
      </c>
      <c r="L3" s="23">
        <f>SUMIF(Pop!$A$2:$A$58,'1'!A3,Pop!$B$2:$B$58)/1000</f>
        <v>21344.780999999999</v>
      </c>
      <c r="M3" s="23"/>
      <c r="N3" s="83">
        <f>I3*$L3/1000</f>
        <v>9.8185992600000009</v>
      </c>
      <c r="O3" s="83">
        <f t="shared" ref="O3:P29" si="3">J3*$L3/1000</f>
        <v>10.032047070000001</v>
      </c>
      <c r="P3" s="84">
        <f t="shared" si="3"/>
        <v>1.2806868599999999</v>
      </c>
      <c r="Q3" s="88">
        <f>SUM(O3:P3)</f>
        <v>11.31273393</v>
      </c>
      <c r="R3" s="107">
        <f>P3/O3</f>
        <v>0.1276595744680851</v>
      </c>
      <c r="S3" s="12">
        <f>SUMIF(GDPcap!$A$182:$A$232,'1'!A3,GDPcap!$B$182:$B$232)</f>
        <v>3094.2164359319218</v>
      </c>
      <c r="T3" s="80">
        <f>S3*L3/1000000</f>
        <v>66.045372191567395</v>
      </c>
      <c r="U3" s="13"/>
      <c r="V3" s="13"/>
      <c r="W3" s="13"/>
      <c r="X3" s="14"/>
      <c r="Y3" t="s">
        <v>141</v>
      </c>
      <c r="Z3" s="98">
        <v>45</v>
      </c>
      <c r="AA3" s="13" t="s">
        <v>142</v>
      </c>
      <c r="AB3" s="14">
        <v>0.21</v>
      </c>
      <c r="AC3" s="136" t="s">
        <v>165</v>
      </c>
      <c r="AD3" s="137">
        <v>-2.2400000000000002</v>
      </c>
      <c r="AE3" s="137"/>
      <c r="AF3" s="138"/>
      <c r="AG3" s="136" t="s">
        <v>168</v>
      </c>
      <c r="AH3" s="137">
        <v>0.3</v>
      </c>
      <c r="AI3" s="137"/>
      <c r="AJ3" s="138"/>
      <c r="AV3" s="209"/>
      <c r="AW3" s="132">
        <v>2020</v>
      </c>
      <c r="AX3" s="235">
        <v>778.952676354</v>
      </c>
      <c r="AY3" s="235">
        <v>78.001448854900005</v>
      </c>
      <c r="AZ3" s="13"/>
      <c r="BA3" s="13"/>
      <c r="BB3" s="13"/>
      <c r="BC3" s="13"/>
      <c r="BD3" s="13">
        <f t="shared" ref="BD3:BD7" si="4">SUMIF($A$3:$A$29,AW3,$P$3:$P$29)</f>
        <v>18.584703359999999</v>
      </c>
      <c r="BE3" s="13">
        <f t="shared" ref="BE3:BE7" si="5">SUMIF($A$3:$A$29,AW3,$O$3:$O$29)</f>
        <v>19.589281920000001</v>
      </c>
      <c r="BF3" s="13">
        <f t="shared" ref="BF3:BF13" si="6">BD3/BE3</f>
        <v>0.94871794871794857</v>
      </c>
      <c r="BG3" s="13">
        <f t="shared" ref="BG3:BG13" si="7">BD3+BE3</f>
        <v>38.173985279999997</v>
      </c>
      <c r="BH3" s="13"/>
      <c r="BI3" s="14"/>
      <c r="BJ3" s="14"/>
      <c r="BK3" s="23"/>
      <c r="BL3" s="13"/>
      <c r="BM3" s="14"/>
      <c r="BN3" s="23"/>
      <c r="BO3" s="23"/>
      <c r="BP3" s="13"/>
      <c r="BQ3" s="13"/>
      <c r="BR3" s="13"/>
    </row>
    <row r="4" spans="1:70" x14ac:dyDescent="0.25">
      <c r="A4" s="42">
        <v>1975</v>
      </c>
      <c r="B4" s="12">
        <f>SUMIF('EDU projections'!$B$37:$B$63,'1'!$A4,'EDU projections'!$D$37:$D$63)</f>
        <v>0.43</v>
      </c>
      <c r="C4" s="13">
        <f>SUMIF('EDU projections'!$B$64:$B$90,'1'!$A4,'EDU projections'!$D$64:$D$90)</f>
        <v>0.13</v>
      </c>
      <c r="D4" s="13">
        <f>SUMIF('EDU projections'!$B$91:$B$117,'1'!$A4,'EDU projections'!$D$91:$D$117)</f>
        <v>0.17</v>
      </c>
      <c r="E4" s="13">
        <f>SUMIF('EDU projections'!$B$118:$B$144,'1'!$A4,'EDU projections'!$D$118:$D$144)</f>
        <v>0.16</v>
      </c>
      <c r="F4" s="13">
        <f>SUMIF('EDU projections'!$B$145:$B$171,'1'!$A4,'EDU projections'!$D$145:$D$171)</f>
        <v>0.03</v>
      </c>
      <c r="G4" s="13">
        <f>SUMIF('EDU projections'!$B$172:$B$198,'1'!$A4,'EDU projections'!$D$172:$D$198)</f>
        <v>0.05</v>
      </c>
      <c r="H4" s="14">
        <f>SUMIF('EDU projections'!$B$199:$B$225,'1'!$A4,'EDU projections'!$D$199:$D$225)</f>
        <v>0.03</v>
      </c>
      <c r="I4" s="12">
        <f t="shared" ref="I4:I29" si="8">B4</f>
        <v>0.43</v>
      </c>
      <c r="J4" s="13">
        <f t="shared" ref="J4:J29" si="9">C4+D4+E4+F4</f>
        <v>0.4900000000000001</v>
      </c>
      <c r="K4" s="13">
        <f t="shared" ref="K4:K29" si="10">G4+H4</f>
        <v>0.08</v>
      </c>
      <c r="L4" s="23">
        <f>SUMIF(Pop!$A$2:$A$58,'1'!A4,Pop!$B$2:$B$58)/1000</f>
        <v>23996.249</v>
      </c>
      <c r="M4" s="44"/>
      <c r="N4" s="61">
        <f t="shared" ref="N4:N29" si="11">I4*$L4/1000</f>
        <v>10.318387069999998</v>
      </c>
      <c r="O4" s="61">
        <f t="shared" si="3"/>
        <v>11.758162010000001</v>
      </c>
      <c r="P4" s="62">
        <f t="shared" si="3"/>
        <v>1.91969992</v>
      </c>
      <c r="Q4" s="89">
        <f t="shared" ref="Q4:Q29" si="12">SUM(O4:P4)</f>
        <v>13.677861930000001</v>
      </c>
      <c r="R4" s="29">
        <f t="shared" ref="R4:R29" si="13">P4/O4</f>
        <v>0.16326530612244897</v>
      </c>
      <c r="S4" s="12">
        <f>SUMIF(GDPcap!$A$182:$A$232,'1'!A4,GDPcap!$B$182:$B$232)</f>
        <v>3620.6010362694296</v>
      </c>
      <c r="T4" s="81">
        <f t="shared" ref="T4:T11" si="14">S4*L4/1000000</f>
        <v>86.880843995979262</v>
      </c>
      <c r="U4" s="13"/>
      <c r="V4" s="13"/>
      <c r="W4" s="13"/>
      <c r="X4" s="14"/>
      <c r="Y4" s="12" t="s">
        <v>141</v>
      </c>
      <c r="Z4" s="13">
        <f>Z3/180*PI()</f>
        <v>0.78539816339744828</v>
      </c>
      <c r="AA4" s="13" t="s">
        <v>143</v>
      </c>
      <c r="AB4" s="14">
        <v>0.5</v>
      </c>
      <c r="AC4" s="135" t="s">
        <v>166</v>
      </c>
      <c r="AD4" s="67">
        <v>0.308</v>
      </c>
      <c r="AE4" s="67"/>
      <c r="AF4" s="134"/>
      <c r="AG4" s="135" t="s">
        <v>169</v>
      </c>
      <c r="AH4" s="67">
        <v>0.08</v>
      </c>
      <c r="AI4" s="67"/>
      <c r="AJ4" s="134"/>
      <c r="AV4" s="209"/>
      <c r="AW4" s="132">
        <v>2040</v>
      </c>
      <c r="AX4" s="235">
        <v>4995.2019234400004</v>
      </c>
      <c r="AY4" s="235">
        <v>115.906049809</v>
      </c>
      <c r="AZ4" s="13"/>
      <c r="BA4" s="13"/>
      <c r="BB4" s="13"/>
      <c r="BC4" s="13"/>
      <c r="BD4" s="13">
        <f t="shared" si="4"/>
        <v>29.003015099999999</v>
      </c>
      <c r="BE4" s="13">
        <f t="shared" si="5"/>
        <v>15.322347600000001</v>
      </c>
      <c r="BF4" s="13">
        <f t="shared" si="6"/>
        <v>1.8928571428571428</v>
      </c>
      <c r="BG4" s="13">
        <f t="shared" si="7"/>
        <v>44.325362699999999</v>
      </c>
      <c r="BH4" s="13"/>
      <c r="BI4" s="14"/>
      <c r="BJ4" s="14"/>
      <c r="BK4" s="23"/>
      <c r="BL4" s="13"/>
      <c r="BM4" s="14"/>
      <c r="BN4" s="23"/>
      <c r="BO4" s="23"/>
      <c r="BP4" s="13"/>
      <c r="BQ4" s="13"/>
      <c r="BR4" s="13"/>
    </row>
    <row r="5" spans="1:70" x14ac:dyDescent="0.25">
      <c r="A5" s="42">
        <v>1980</v>
      </c>
      <c r="B5" s="12">
        <f>SUMIF('EDU projections'!$B$37:$B$63,'1'!$A5,'EDU projections'!$D$37:$D$63)</f>
        <v>0.41</v>
      </c>
      <c r="C5" s="13">
        <f>SUMIF('EDU projections'!$B$64:$B$90,'1'!$A5,'EDU projections'!$D$64:$D$90)</f>
        <v>0.11</v>
      </c>
      <c r="D5" s="13">
        <f>SUMIF('EDU projections'!$B$91:$B$117,'1'!$A5,'EDU projections'!$D$91:$D$117)</f>
        <v>0.16</v>
      </c>
      <c r="E5" s="13">
        <f>SUMIF('EDU projections'!$B$118:$B$144,'1'!$A5,'EDU projections'!$D$118:$D$144)</f>
        <v>0.18</v>
      </c>
      <c r="F5" s="13">
        <f>SUMIF('EDU projections'!$B$145:$B$171,'1'!$A5,'EDU projections'!$D$145:$D$171)</f>
        <v>0.04</v>
      </c>
      <c r="G5" s="13">
        <f>SUMIF('EDU projections'!$B$172:$B$198,'1'!$A5,'EDU projections'!$D$172:$D$198)</f>
        <v>0.06</v>
      </c>
      <c r="H5" s="14">
        <f>SUMIF('EDU projections'!$B$199:$B$225,'1'!$A5,'EDU projections'!$D$199:$D$225)</f>
        <v>0.04</v>
      </c>
      <c r="I5" s="12">
        <f t="shared" si="8"/>
        <v>0.41</v>
      </c>
      <c r="J5" s="13">
        <f t="shared" si="9"/>
        <v>0.49</v>
      </c>
      <c r="K5" s="13">
        <f t="shared" si="10"/>
        <v>0.1</v>
      </c>
      <c r="L5" s="23">
        <f>SUMIF(Pop!$A$2:$A$58,'1'!A5,Pop!$B$2:$B$58)/1000</f>
        <v>26934.591</v>
      </c>
      <c r="M5" s="45"/>
      <c r="N5" s="61">
        <f t="shared" si="11"/>
        <v>11.043182310000001</v>
      </c>
      <c r="O5" s="110">
        <f t="shared" si="3"/>
        <v>13.19794959</v>
      </c>
      <c r="P5" s="111">
        <f t="shared" si="3"/>
        <v>2.6934591000000001</v>
      </c>
      <c r="Q5" s="89">
        <f t="shared" si="12"/>
        <v>15.89140869</v>
      </c>
      <c r="R5" s="29">
        <f t="shared" si="13"/>
        <v>0.20408163265306123</v>
      </c>
      <c r="S5" s="12">
        <f>SUMIF(GDPcap!$A$182:$A$232,'1'!A5,GDPcap!$B$182:$B$232)</f>
        <v>4257.2565806766552</v>
      </c>
      <c r="T5" s="112">
        <f t="shared" si="14"/>
        <v>114.6674647825842</v>
      </c>
      <c r="U5" s="13"/>
      <c r="V5" s="13"/>
      <c r="W5" s="13"/>
      <c r="X5" s="14"/>
      <c r="Y5" s="12" t="s">
        <v>140</v>
      </c>
      <c r="Z5" s="13">
        <f>-28*(Z4-PI()/2)/(PI()/2)</f>
        <v>14</v>
      </c>
      <c r="AA5" s="13" t="s">
        <v>144</v>
      </c>
      <c r="AB5" s="14">
        <v>2.3800000000000002E-2</v>
      </c>
      <c r="AC5" s="135" t="s">
        <v>167</v>
      </c>
      <c r="AD5" s="67">
        <v>-7.3000000000000001E-3</v>
      </c>
      <c r="AE5" s="67"/>
      <c r="AF5" s="134"/>
      <c r="AG5" s="135" t="s">
        <v>170</v>
      </c>
      <c r="AH5" s="67">
        <v>-2.3E-3</v>
      </c>
      <c r="AI5" s="67"/>
      <c r="AJ5" s="134"/>
      <c r="AV5" s="209"/>
      <c r="AW5" s="132">
        <v>2060</v>
      </c>
      <c r="AX5" s="235">
        <v>32032.808941300002</v>
      </c>
      <c r="AY5" s="235">
        <v>172.230292891</v>
      </c>
      <c r="AZ5" s="13"/>
      <c r="BA5" s="13"/>
      <c r="BB5" s="13"/>
      <c r="BC5" s="13"/>
      <c r="BD5" s="13">
        <f t="shared" si="4"/>
        <v>35.68824798</v>
      </c>
      <c r="BE5" s="13">
        <f t="shared" si="5"/>
        <v>9.1924275099999999</v>
      </c>
      <c r="BF5" s="13">
        <f t="shared" si="6"/>
        <v>3.8823529411764706</v>
      </c>
      <c r="BG5" s="13">
        <f t="shared" si="7"/>
        <v>44.880675490000002</v>
      </c>
      <c r="BH5" s="13"/>
      <c r="BI5" s="14"/>
      <c r="BJ5" s="14"/>
      <c r="BK5" s="23"/>
      <c r="BL5" s="13"/>
      <c r="BM5" s="14"/>
      <c r="BN5" s="23"/>
      <c r="BO5" s="23"/>
      <c r="BP5" s="13"/>
      <c r="BQ5" s="13"/>
      <c r="BR5" s="13"/>
    </row>
    <row r="6" spans="1:70" x14ac:dyDescent="0.25">
      <c r="A6" s="42">
        <v>1985</v>
      </c>
      <c r="B6" s="12">
        <f>SUMIF('EDU projections'!$B$37:$B$63,'1'!$A6,'EDU projections'!$D$37:$D$63)</f>
        <v>0.38</v>
      </c>
      <c r="C6" s="13">
        <f>SUMIF('EDU projections'!$B$64:$B$90,'1'!$A6,'EDU projections'!$D$64:$D$90)</f>
        <v>0.09</v>
      </c>
      <c r="D6" s="13">
        <f>SUMIF('EDU projections'!$B$91:$B$117,'1'!$A6,'EDU projections'!$D$91:$D$117)</f>
        <v>0.16</v>
      </c>
      <c r="E6" s="13">
        <f>SUMIF('EDU projections'!$B$118:$B$144,'1'!$A6,'EDU projections'!$D$118:$D$144)</f>
        <v>0.19</v>
      </c>
      <c r="F6" s="13">
        <f>SUMIF('EDU projections'!$B$145:$B$171,'1'!$A6,'EDU projections'!$D$145:$D$171)</f>
        <v>0.05</v>
      </c>
      <c r="G6" s="13">
        <f>SUMIF('EDU projections'!$B$172:$B$198,'1'!$A6,'EDU projections'!$D$172:$D$198)</f>
        <v>7.0000000000000007E-2</v>
      </c>
      <c r="H6" s="14">
        <f>SUMIF('EDU projections'!$B$199:$B$225,'1'!$A6,'EDU projections'!$D$199:$D$225)</f>
        <v>0.05</v>
      </c>
      <c r="I6" s="12">
        <f t="shared" si="8"/>
        <v>0.38</v>
      </c>
      <c r="J6" s="13">
        <f t="shared" si="9"/>
        <v>0.49</v>
      </c>
      <c r="K6" s="13">
        <f t="shared" si="10"/>
        <v>0.12000000000000001</v>
      </c>
      <c r="L6" s="23">
        <f>SUMIF(Pop!$A$2:$A$58,'1'!A6,Pop!$B$2:$B$58)/1000</f>
        <v>30076.525000000001</v>
      </c>
      <c r="M6" s="44"/>
      <c r="N6" s="61">
        <f t="shared" si="11"/>
        <v>11.4290795</v>
      </c>
      <c r="O6" s="61">
        <f t="shared" si="3"/>
        <v>14.737497250000001</v>
      </c>
      <c r="P6" s="62">
        <f t="shared" si="3"/>
        <v>3.6091830000000003</v>
      </c>
      <c r="Q6" s="89">
        <f t="shared" si="12"/>
        <v>18.346680250000002</v>
      </c>
      <c r="R6" s="29">
        <f t="shared" si="13"/>
        <v>0.24489795918367346</v>
      </c>
      <c r="S6" s="12">
        <f>SUMIF(GDPcap!$A$182:$A$232,'1'!A6,GDPcap!$B$182:$B$232)</f>
        <v>4271.7493613016004</v>
      </c>
      <c r="T6" s="81">
        <f t="shared" si="14"/>
        <v>128.47937645892162</v>
      </c>
      <c r="U6" s="13"/>
      <c r="V6" s="13"/>
      <c r="W6" s="13"/>
      <c r="X6" s="14"/>
      <c r="Y6" s="12"/>
      <c r="Z6" s="13"/>
      <c r="AA6" s="13"/>
      <c r="AB6" s="14"/>
      <c r="AC6" s="12"/>
      <c r="AD6" s="13"/>
      <c r="AE6" s="13"/>
      <c r="AF6" s="14"/>
      <c r="AG6" s="12"/>
      <c r="AH6" s="13"/>
      <c r="AI6" s="13"/>
      <c r="AJ6" s="14"/>
      <c r="AV6" s="209"/>
      <c r="AW6" s="132">
        <v>2080</v>
      </c>
      <c r="AX6" s="235">
        <v>205417.29131199999</v>
      </c>
      <c r="AY6" s="235">
        <v>255.92515523</v>
      </c>
      <c r="AZ6" s="13"/>
      <c r="BA6" s="13"/>
      <c r="BB6" s="13"/>
      <c r="BC6" s="13"/>
      <c r="BD6" s="13">
        <f t="shared" si="4"/>
        <v>38.185937799999998</v>
      </c>
      <c r="BE6" s="13">
        <f t="shared" si="5"/>
        <v>5.5269120499999991</v>
      </c>
      <c r="BF6" s="13">
        <f t="shared" si="6"/>
        <v>6.9090909090909101</v>
      </c>
      <c r="BG6" s="13">
        <f t="shared" si="7"/>
        <v>43.712849849999998</v>
      </c>
      <c r="BH6" s="13"/>
      <c r="BI6" s="14"/>
      <c r="BJ6" s="14"/>
      <c r="BK6" s="23"/>
      <c r="BL6" s="13"/>
      <c r="BM6" s="14"/>
      <c r="BN6" s="23"/>
      <c r="BO6" s="23"/>
      <c r="BP6" s="13"/>
      <c r="BQ6" s="13"/>
      <c r="BR6" s="13"/>
    </row>
    <row r="7" spans="1:70" ht="15.75" thickBot="1" x14ac:dyDescent="0.3">
      <c r="A7" s="42">
        <v>1990</v>
      </c>
      <c r="B7" s="12">
        <f>SUMIF('EDU projections'!$B$37:$B$63,'1'!$A7,'EDU projections'!$D$37:$D$63)</f>
        <v>0.37</v>
      </c>
      <c r="C7" s="13">
        <f>SUMIF('EDU projections'!$B$64:$B$90,'1'!$A7,'EDU projections'!$D$64:$D$90)</f>
        <v>0.08</v>
      </c>
      <c r="D7" s="13">
        <f>SUMIF('EDU projections'!$B$91:$B$117,'1'!$A7,'EDU projections'!$D$91:$D$117)</f>
        <v>0.15</v>
      </c>
      <c r="E7" s="13">
        <f>SUMIF('EDU projections'!$B$118:$B$144,'1'!$A7,'EDU projections'!$D$118:$D$144)</f>
        <v>0.2</v>
      </c>
      <c r="F7" s="13">
        <f>SUMIF('EDU projections'!$B$145:$B$171,'1'!$A7,'EDU projections'!$D$145:$D$171)</f>
        <v>0.05</v>
      </c>
      <c r="G7" s="13">
        <f>SUMIF('EDU projections'!$B$172:$B$198,'1'!$A7,'EDU projections'!$D$172:$D$198)</f>
        <v>0.09</v>
      </c>
      <c r="H7" s="14">
        <f>SUMIF('EDU projections'!$B$199:$B$225,'1'!$A7,'EDU projections'!$D$199:$D$225)</f>
        <v>0.06</v>
      </c>
      <c r="I7" s="12">
        <f t="shared" si="8"/>
        <v>0.37</v>
      </c>
      <c r="J7" s="13">
        <f t="shared" si="9"/>
        <v>0.48</v>
      </c>
      <c r="K7" s="13">
        <f t="shared" si="10"/>
        <v>0.15</v>
      </c>
      <c r="L7" s="23">
        <f>SUMIF(Pop!$A$2:$A$58,'1'!A7,Pop!$B$2:$B$58)/1000</f>
        <v>33306.940999999999</v>
      </c>
      <c r="M7" s="44"/>
      <c r="N7" s="61">
        <f t="shared" si="11"/>
        <v>12.323568169999998</v>
      </c>
      <c r="O7" s="61">
        <f t="shared" si="3"/>
        <v>15.987331679999999</v>
      </c>
      <c r="P7" s="62">
        <f t="shared" si="3"/>
        <v>4.9960411499999999</v>
      </c>
      <c r="Q7" s="89">
        <f t="shared" si="12"/>
        <v>20.98337283</v>
      </c>
      <c r="R7" s="29">
        <f t="shared" si="13"/>
        <v>0.3125</v>
      </c>
      <c r="S7" s="12">
        <f>SUMIF(GDPcap!$A$182:$A$232,'1'!A7,GDPcap!$B$182:$B$232)</f>
        <v>4825.7426343417173</v>
      </c>
      <c r="T7" s="81">
        <f t="shared" si="14"/>
        <v>160.73072520320414</v>
      </c>
      <c r="U7" s="13"/>
      <c r="V7" s="13"/>
      <c r="W7" s="13"/>
      <c r="X7" s="14"/>
      <c r="Y7" s="12"/>
      <c r="Z7" s="13"/>
      <c r="AA7" s="13"/>
      <c r="AB7" s="14"/>
      <c r="AC7" s="12"/>
      <c r="AD7" s="13"/>
      <c r="AE7" s="13"/>
      <c r="AF7" s="14"/>
      <c r="AG7" s="12"/>
      <c r="AH7" s="13"/>
      <c r="AI7" s="13"/>
      <c r="AJ7" s="14"/>
      <c r="AV7" s="210"/>
      <c r="AW7" s="133">
        <v>2100</v>
      </c>
      <c r="AX7" s="236">
        <v>1317282.65377</v>
      </c>
      <c r="AY7" s="236">
        <v>380.29131797999997</v>
      </c>
      <c r="AZ7" s="16"/>
      <c r="BA7" s="16"/>
      <c r="BB7" s="16"/>
      <c r="BC7" s="16"/>
      <c r="BD7" s="16">
        <f t="shared" si="4"/>
        <v>37.163216720000001</v>
      </c>
      <c r="BE7" s="16">
        <f t="shared" si="5"/>
        <v>2.2660498000000002</v>
      </c>
      <c r="BF7" s="16">
        <f t="shared" si="6"/>
        <v>16.399999999999999</v>
      </c>
      <c r="BG7" s="16">
        <f t="shared" si="7"/>
        <v>39.429266519999999</v>
      </c>
      <c r="BH7" s="16"/>
      <c r="BI7" s="17"/>
      <c r="BJ7" s="17"/>
      <c r="BK7" s="53"/>
      <c r="BL7" s="16"/>
      <c r="BM7" s="17"/>
      <c r="BN7" s="23"/>
      <c r="BO7" s="53"/>
      <c r="BP7" s="13"/>
      <c r="BQ7" s="13"/>
      <c r="BR7" s="13"/>
    </row>
    <row r="8" spans="1:70" x14ac:dyDescent="0.25">
      <c r="A8" s="42">
        <v>1995</v>
      </c>
      <c r="B8" s="12">
        <f>SUMIF('EDU projections'!$B$37:$B$63,'1'!$A8,'EDU projections'!$D$37:$D$63)</f>
        <v>0.35</v>
      </c>
      <c r="C8" s="13">
        <f>SUMIF('EDU projections'!$B$64:$B$90,'1'!$A8,'EDU projections'!$D$64:$D$90)</f>
        <v>7.0000000000000007E-2</v>
      </c>
      <c r="D8" s="13">
        <f>SUMIF('EDU projections'!$B$91:$B$117,'1'!$A8,'EDU projections'!$D$91:$D$117)</f>
        <v>0.14000000000000001</v>
      </c>
      <c r="E8" s="13">
        <f>SUMIF('EDU projections'!$B$118:$B$144,'1'!$A8,'EDU projections'!$D$118:$D$144)</f>
        <v>0.2</v>
      </c>
      <c r="F8" s="13">
        <f>SUMIF('EDU projections'!$B$145:$B$171,'1'!$A8,'EDU projections'!$D$145:$D$171)</f>
        <v>0.06</v>
      </c>
      <c r="G8" s="13">
        <f>SUMIF('EDU projections'!$B$172:$B$198,'1'!$A8,'EDU projections'!$D$172:$D$198)</f>
        <v>0.11</v>
      </c>
      <c r="H8" s="14">
        <f>SUMIF('EDU projections'!$B$199:$B$225,'1'!$A8,'EDU projections'!$D$199:$D$225)</f>
        <v>0.08</v>
      </c>
      <c r="I8" s="12">
        <f t="shared" si="8"/>
        <v>0.35</v>
      </c>
      <c r="J8" s="13">
        <f t="shared" si="9"/>
        <v>0.47000000000000003</v>
      </c>
      <c r="K8" s="13">
        <f t="shared" si="10"/>
        <v>0.19</v>
      </c>
      <c r="L8" s="23">
        <f>SUMIF(Pop!$A$2:$A$58,'1'!A8,Pop!$B$2:$B$58)/1000</f>
        <v>36573.894999999997</v>
      </c>
      <c r="M8" s="44"/>
      <c r="N8" s="61">
        <f t="shared" si="11"/>
        <v>12.800863249999999</v>
      </c>
      <c r="O8" s="61">
        <f t="shared" si="3"/>
        <v>17.189730650000001</v>
      </c>
      <c r="P8" s="62">
        <f t="shared" si="3"/>
        <v>6.9490400499999998</v>
      </c>
      <c r="Q8" s="89">
        <f t="shared" si="12"/>
        <v>24.138770700000002</v>
      </c>
      <c r="R8" s="29">
        <f t="shared" si="13"/>
        <v>0.40425531914893614</v>
      </c>
      <c r="S8" s="12">
        <f>SUMIF(GDPcap!$A$182:$A$232,'1'!A8,GDPcap!$B$182:$B$232)</f>
        <v>5469.7551026701058</v>
      </c>
      <c r="T8" s="81">
        <f t="shared" si="14"/>
        <v>200.05024880077065</v>
      </c>
      <c r="U8" s="13"/>
      <c r="V8" s="13"/>
      <c r="W8" s="13"/>
      <c r="X8" s="14"/>
      <c r="Y8" s="12"/>
      <c r="Z8" s="13"/>
      <c r="AA8" s="13"/>
      <c r="AB8" s="14"/>
      <c r="AC8" s="12"/>
      <c r="AD8" s="13"/>
      <c r="AE8" s="13"/>
      <c r="AF8" s="14"/>
      <c r="AG8" s="12"/>
      <c r="AH8" s="13"/>
      <c r="AI8" s="13"/>
      <c r="AJ8" s="14"/>
      <c r="AV8" s="208" t="s">
        <v>163</v>
      </c>
      <c r="AW8" s="131">
        <v>2000</v>
      </c>
      <c r="AX8" s="10"/>
      <c r="AY8" s="10"/>
      <c r="AZ8" s="10">
        <f>$Y$9</f>
        <v>14</v>
      </c>
      <c r="BA8" s="10">
        <f>$AC$9</f>
        <v>0.64119999999999999</v>
      </c>
      <c r="BB8" s="10">
        <f>$AG$9</f>
        <v>0.96920000000000017</v>
      </c>
      <c r="BC8" s="10">
        <f>BB8/BA8</f>
        <v>1.5115408608858394</v>
      </c>
      <c r="BD8" s="158">
        <v>7.95740947</v>
      </c>
      <c r="BE8" s="158">
        <v>18.772590529999999</v>
      </c>
      <c r="BF8" s="10">
        <f t="shared" si="6"/>
        <v>0.42388446374960698</v>
      </c>
      <c r="BG8" s="10">
        <f t="shared" si="7"/>
        <v>26.729999999999997</v>
      </c>
      <c r="BH8" s="237">
        <v>7.9801398399999997</v>
      </c>
      <c r="BI8" s="11"/>
      <c r="BJ8" s="11">
        <v>18.904940849999999</v>
      </c>
      <c r="BK8" s="27"/>
      <c r="BL8" s="237">
        <v>18.904940849999999</v>
      </c>
      <c r="BM8" s="11"/>
      <c r="BN8" s="27"/>
      <c r="BO8" s="27"/>
      <c r="BP8" s="13"/>
      <c r="BQ8" s="13"/>
      <c r="BR8" s="13"/>
    </row>
    <row r="9" spans="1:70" s="77" customFormat="1" x14ac:dyDescent="0.25">
      <c r="A9" s="69">
        <v>2000</v>
      </c>
      <c r="B9" s="70">
        <f>SUMIF('EDU projections'!$B$37:$B$63,'1'!$A9,'EDU projections'!$D$37:$D$63)</f>
        <v>0.33</v>
      </c>
      <c r="C9" s="71">
        <f>SUMIF('EDU projections'!$B$64:$B$90,'1'!$A9,'EDU projections'!$D$64:$D$90)</f>
        <v>0.06</v>
      </c>
      <c r="D9" s="71">
        <f>SUMIF('EDU projections'!$B$91:$B$117,'1'!$A9,'EDU projections'!$D$91:$D$117)</f>
        <v>0.13</v>
      </c>
      <c r="E9" s="71">
        <f>SUMIF('EDU projections'!$B$118:$B$144,'1'!$A9,'EDU projections'!$D$118:$D$144)</f>
        <v>0.2</v>
      </c>
      <c r="F9" s="71">
        <f>SUMIF('EDU projections'!$B$145:$B$171,'1'!$A9,'EDU projections'!$D$145:$D$171)</f>
        <v>0.06</v>
      </c>
      <c r="G9" s="71">
        <f>SUMIF('EDU projections'!$B$172:$B$198,'1'!$A9,'EDU projections'!$D$172:$D$198)</f>
        <v>0.13</v>
      </c>
      <c r="H9" s="72">
        <f>SUMIF('EDU projections'!$B$199:$B$225,'1'!$A9,'EDU projections'!$D$199:$D$225)</f>
        <v>0.09</v>
      </c>
      <c r="I9" s="70">
        <f t="shared" si="8"/>
        <v>0.33</v>
      </c>
      <c r="J9" s="71">
        <f t="shared" si="9"/>
        <v>0.45</v>
      </c>
      <c r="K9" s="71">
        <f t="shared" si="10"/>
        <v>0.22</v>
      </c>
      <c r="L9" s="73">
        <f>SUMIF(Pop!$A$2:$A$58,'1'!A9,Pop!$B$2:$B$58)/1000</f>
        <v>39897.983999999997</v>
      </c>
      <c r="M9" s="74">
        <f>(L9-L5)/L5</f>
        <v>0.48129162236025774</v>
      </c>
      <c r="N9" s="85">
        <f t="shared" si="11"/>
        <v>13.166334719999998</v>
      </c>
      <c r="O9" s="172">
        <f t="shared" si="3"/>
        <v>17.954092799999998</v>
      </c>
      <c r="P9" s="173">
        <f t="shared" si="3"/>
        <v>8.7775564799999994</v>
      </c>
      <c r="Q9" s="95">
        <f t="shared" si="12"/>
        <v>26.731649279999999</v>
      </c>
      <c r="R9" s="177">
        <f t="shared" si="13"/>
        <v>0.48888888888888893</v>
      </c>
      <c r="S9" s="70">
        <f>SUMIF(GDPcap!$A$182:$A$232,'1'!A9,GDPcap!$B$182:$B$232)</f>
        <v>5375.205430658656</v>
      </c>
      <c r="T9" s="82">
        <f t="shared" si="14"/>
        <v>214.45986026913215</v>
      </c>
      <c r="U9" s="75">
        <f>RCP!F2</f>
        <v>881.61855719999994</v>
      </c>
      <c r="V9" s="75">
        <f>RCP!F3</f>
        <v>881.61855719999994</v>
      </c>
      <c r="W9" s="75">
        <f>RCP!F4</f>
        <v>881.61855719999994</v>
      </c>
      <c r="X9" s="76">
        <f>RCP!F5</f>
        <v>881.61855719999994</v>
      </c>
      <c r="Y9" s="70">
        <f t="shared" ref="Y9:AB11" si="15">$Z$5+$AB$3*(U9-U$9)^$AB$4*(1-$AB$5*$Z$5)</f>
        <v>14</v>
      </c>
      <c r="Z9" s="71">
        <f t="shared" si="15"/>
        <v>14</v>
      </c>
      <c r="AA9" s="71">
        <f t="shared" si="15"/>
        <v>14</v>
      </c>
      <c r="AB9" s="72">
        <f t="shared" si="15"/>
        <v>14</v>
      </c>
      <c r="AC9" s="70">
        <f>MAX(0.001, $AD$3+$AD$4*Y9+$AD$5*Y9^2)</f>
        <v>0.64119999999999999</v>
      </c>
      <c r="AD9" s="71">
        <f t="shared" ref="AD9:AF11" si="16">MAX(0.001, $AD$3+$AD$4*Z9+$AD$5*Z9^2)</f>
        <v>0.64119999999999999</v>
      </c>
      <c r="AE9" s="71">
        <f t="shared" si="16"/>
        <v>0.64119999999999999</v>
      </c>
      <c r="AF9" s="72">
        <f t="shared" si="16"/>
        <v>0.64119999999999999</v>
      </c>
      <c r="AG9" s="70">
        <f>MAX(0.001, $AH$3+$AH$4*Y9+$AH$5*Y9^2)</f>
        <v>0.96920000000000017</v>
      </c>
      <c r="AH9" s="71">
        <f t="shared" ref="AH9:AJ29" si="17">MAX(0.001, $AH$3+$AH$4*Z9+$AH$5*Z9^2)</f>
        <v>0.96920000000000017</v>
      </c>
      <c r="AI9" s="71">
        <f t="shared" si="17"/>
        <v>0.96920000000000017</v>
      </c>
      <c r="AJ9" s="72">
        <f t="shared" si="17"/>
        <v>0.96920000000000017</v>
      </c>
      <c r="AV9" s="209"/>
      <c r="AW9" s="132">
        <v>2020</v>
      </c>
      <c r="AX9" s="148"/>
      <c r="AY9" s="148"/>
      <c r="AZ9" s="148">
        <f t="shared" ref="AZ9:AZ13" si="18">$Y$9</f>
        <v>14</v>
      </c>
      <c r="BA9" s="148">
        <f t="shared" ref="BA9:BA13" si="19">$AC$9</f>
        <v>0.64119999999999999</v>
      </c>
      <c r="BB9" s="148">
        <f t="shared" ref="BB9:BB13" si="20">$AG$9</f>
        <v>0.96920000000000017</v>
      </c>
      <c r="BC9" s="148">
        <f t="shared" ref="BC9:BC13" si="21">BB9/BA9</f>
        <v>1.5115408608858394</v>
      </c>
      <c r="BD9" s="159">
        <v>17.134755330000001</v>
      </c>
      <c r="BE9" s="159">
        <v>19.458579740000001</v>
      </c>
      <c r="BF9" s="148">
        <f t="shared" si="6"/>
        <v>0.8805758466933209</v>
      </c>
      <c r="BG9" s="148">
        <f t="shared" si="7"/>
        <v>36.593335070000002</v>
      </c>
      <c r="BH9" s="238">
        <v>21.65738799</v>
      </c>
      <c r="BI9" s="149"/>
      <c r="BJ9" s="149">
        <v>46.476644409999999</v>
      </c>
      <c r="BK9" s="189"/>
      <c r="BL9" s="238">
        <v>46.476644409999999</v>
      </c>
      <c r="BM9" s="149"/>
      <c r="BN9" s="189"/>
      <c r="BO9" s="189"/>
      <c r="BP9" s="148"/>
      <c r="BQ9" s="148"/>
      <c r="BR9" s="148"/>
    </row>
    <row r="10" spans="1:70" x14ac:dyDescent="0.25">
      <c r="A10" s="42">
        <v>2005</v>
      </c>
      <c r="B10" s="12">
        <f>SUMIF('EDU projections'!$B$37:$B$63,'1'!$A10,'EDU projections'!$D$37:$D$63)</f>
        <v>0.31</v>
      </c>
      <c r="C10" s="13">
        <f>SUMIF('EDU projections'!$B$64:$B$90,'1'!$A10,'EDU projections'!$D$64:$D$90)</f>
        <v>0.05</v>
      </c>
      <c r="D10" s="13">
        <f>SUMIF('EDU projections'!$B$91:$B$117,'1'!$A10,'EDU projections'!$D$91:$D$117)</f>
        <v>0.12</v>
      </c>
      <c r="E10" s="13">
        <f>SUMIF('EDU projections'!$B$118:$B$144,'1'!$A10,'EDU projections'!$D$118:$D$144)</f>
        <v>0.2</v>
      </c>
      <c r="F10" s="13">
        <f>SUMIF('EDU projections'!$B$145:$B$171,'1'!$A10,'EDU projections'!$D$145:$D$171)</f>
        <v>7.0000000000000007E-2</v>
      </c>
      <c r="G10" s="13">
        <f>SUMIF('EDU projections'!$B$172:$B$198,'1'!$A10,'EDU projections'!$D$172:$D$198)</f>
        <v>0.15</v>
      </c>
      <c r="H10" s="14">
        <f>SUMIF('EDU projections'!$B$199:$B$225,'1'!$A10,'EDU projections'!$D$199:$D$225)</f>
        <v>0.1</v>
      </c>
      <c r="I10" s="12">
        <f t="shared" si="8"/>
        <v>0.31</v>
      </c>
      <c r="J10" s="13">
        <f t="shared" si="9"/>
        <v>0.44</v>
      </c>
      <c r="K10" s="13">
        <f t="shared" si="10"/>
        <v>0.25</v>
      </c>
      <c r="L10" s="23">
        <f>SUMIF(Pop!$A$2:$A$58,'1'!A10,Pop!$B$2:$B$58)/1000</f>
        <v>43184.025999999998</v>
      </c>
      <c r="M10" s="44"/>
      <c r="N10" s="61">
        <f t="shared" si="11"/>
        <v>13.38704806</v>
      </c>
      <c r="O10" s="61">
        <f t="shared" si="3"/>
        <v>19.000971439999997</v>
      </c>
      <c r="P10" s="62">
        <f t="shared" si="3"/>
        <v>10.796006499999999</v>
      </c>
      <c r="Q10" s="89">
        <f t="shared" si="12"/>
        <v>29.796977939999998</v>
      </c>
      <c r="R10" s="29">
        <f t="shared" si="13"/>
        <v>0.56818181818181823</v>
      </c>
      <c r="S10" s="12">
        <f>SUMIF(GDPcap!$A$182:$A$232,'1'!A10,GDPcap!$B$182:$B$232)</f>
        <v>6021.9563021852782</v>
      </c>
      <c r="T10" s="81">
        <f t="shared" si="14"/>
        <v>260.05231752443291</v>
      </c>
      <c r="U10" s="25">
        <f>RCP!G2</f>
        <v>908.74516560000006</v>
      </c>
      <c r="V10" s="25">
        <f>RCP!G3</f>
        <v>908.74516560000006</v>
      </c>
      <c r="W10" s="25">
        <f>RCP!G4</f>
        <v>908.74516560000006</v>
      </c>
      <c r="X10" s="26">
        <f>RCP!G5</f>
        <v>908.74516560000006</v>
      </c>
      <c r="Y10" s="12">
        <f t="shared" si="15"/>
        <v>14.729310783217359</v>
      </c>
      <c r="Z10" s="13">
        <f t="shared" si="15"/>
        <v>14.729310783217359</v>
      </c>
      <c r="AA10" s="13">
        <f t="shared" si="15"/>
        <v>14.729310783217359</v>
      </c>
      <c r="AB10" s="14">
        <f t="shared" si="15"/>
        <v>14.729310783217359</v>
      </c>
      <c r="AC10" s="12">
        <f t="shared" ref="AC10:AC11" si="22">MAX(0.001, $AD$3+$AD$4*Y10+$AD$5*Y10^2)</f>
        <v>0.71287376934614266</v>
      </c>
      <c r="AD10" s="13">
        <f t="shared" si="16"/>
        <v>0.71287376934614266</v>
      </c>
      <c r="AE10" s="13">
        <f t="shared" si="16"/>
        <v>0.71287376934614266</v>
      </c>
      <c r="AF10" s="14">
        <f t="shared" si="16"/>
        <v>0.71287376934614266</v>
      </c>
      <c r="AG10" s="12">
        <f t="shared" ref="AG10:AG29" si="23">MAX(0.001, $AH$3+$AH$4*Y10+$AH$5*Y10^2)</f>
        <v>0.97935389151560148</v>
      </c>
      <c r="AH10" s="13">
        <f t="shared" si="17"/>
        <v>0.97935389151560148</v>
      </c>
      <c r="AI10" s="13">
        <f t="shared" si="17"/>
        <v>0.97935389151560148</v>
      </c>
      <c r="AJ10" s="14">
        <f t="shared" si="17"/>
        <v>0.97935389151560148</v>
      </c>
      <c r="AV10" s="209"/>
      <c r="AW10" s="132">
        <v>2040</v>
      </c>
      <c r="AX10" s="13"/>
      <c r="AY10" s="13"/>
      <c r="AZ10" s="13">
        <f t="shared" si="18"/>
        <v>14</v>
      </c>
      <c r="BA10" s="13">
        <f t="shared" si="19"/>
        <v>0.64119999999999999</v>
      </c>
      <c r="BB10" s="13">
        <f t="shared" si="20"/>
        <v>0.96920000000000017</v>
      </c>
      <c r="BC10" s="13">
        <f t="shared" si="21"/>
        <v>1.5115408608858394</v>
      </c>
      <c r="BD10" s="156">
        <v>27.113838600000001</v>
      </c>
      <c r="BE10" s="156">
        <v>14.82193717</v>
      </c>
      <c r="BF10" s="13">
        <f t="shared" si="6"/>
        <v>1.8293046508710846</v>
      </c>
      <c r="BG10" s="13">
        <f t="shared" si="7"/>
        <v>41.935775769999999</v>
      </c>
      <c r="BH10" s="239">
        <v>48.612712590000001</v>
      </c>
      <c r="BI10" s="14"/>
      <c r="BJ10" s="14">
        <v>97.801448370000003</v>
      </c>
      <c r="BK10" s="23"/>
      <c r="BL10" s="239">
        <v>97.801448370000003</v>
      </c>
      <c r="BM10" s="14"/>
      <c r="BN10" s="23"/>
      <c r="BO10" s="23"/>
      <c r="BP10" s="13"/>
      <c r="BQ10" s="13"/>
      <c r="BR10" s="13"/>
    </row>
    <row r="11" spans="1:70" x14ac:dyDescent="0.25">
      <c r="A11" s="42">
        <v>2010</v>
      </c>
      <c r="B11" s="12">
        <f>SUMIF('EDU projections'!$B$37:$B$63,'1'!$A11,'EDU projections'!$D$37:$D$63)</f>
        <v>0.28999999999999998</v>
      </c>
      <c r="C11" s="13">
        <f>SUMIF('EDU projections'!$B$64:$B$90,'1'!$A11,'EDU projections'!$D$64:$D$90)</f>
        <v>0.05</v>
      </c>
      <c r="D11" s="13">
        <f>SUMIF('EDU projections'!$B$91:$B$117,'1'!$A11,'EDU projections'!$D$91:$D$117)</f>
        <v>0.11</v>
      </c>
      <c r="E11" s="13">
        <f>SUMIF('EDU projections'!$B$118:$B$144,'1'!$A11,'EDU projections'!$D$118:$D$144)</f>
        <v>0.19</v>
      </c>
      <c r="F11" s="13">
        <f>SUMIF('EDU projections'!$B$145:$B$171,'1'!$A11,'EDU projections'!$D$145:$D$171)</f>
        <v>0.08</v>
      </c>
      <c r="G11" s="13">
        <f>SUMIF('EDU projections'!$B$172:$B$198,'1'!$A11,'EDU projections'!$D$172:$D$198)</f>
        <v>0.17</v>
      </c>
      <c r="H11" s="14">
        <f>SUMIF('EDU projections'!$B$199:$B$225,'1'!$A11,'EDU projections'!$D$199:$D$225)</f>
        <v>0.12</v>
      </c>
      <c r="I11" s="12">
        <f t="shared" si="8"/>
        <v>0.28999999999999998</v>
      </c>
      <c r="J11" s="13">
        <f t="shared" si="9"/>
        <v>0.43</v>
      </c>
      <c r="K11" s="13">
        <f t="shared" si="10"/>
        <v>0.29000000000000004</v>
      </c>
      <c r="L11" s="23">
        <f>SUMIF(Pop!$A$2:$A$58,'1'!A11,Pop!$B$2:$B$58)/1000</f>
        <v>46444.798000000003</v>
      </c>
      <c r="M11" s="44"/>
      <c r="N11" s="61">
        <f t="shared" si="11"/>
        <v>13.46899142</v>
      </c>
      <c r="O11" s="61">
        <f t="shared" si="3"/>
        <v>19.971263139999998</v>
      </c>
      <c r="P11" s="62">
        <f t="shared" si="3"/>
        <v>13.468991420000002</v>
      </c>
      <c r="Q11" s="89">
        <f t="shared" si="12"/>
        <v>33.44025456</v>
      </c>
      <c r="R11" s="29">
        <f t="shared" si="13"/>
        <v>0.67441860465116299</v>
      </c>
      <c r="S11" s="12">
        <f>SUMIF(GDPcap!$A$182:$A$232,'1'!A11,GDPcap!$B$182:$B$232)</f>
        <v>7062.5047068853282</v>
      </c>
      <c r="T11" s="81">
        <f t="shared" si="14"/>
        <v>328.01660448533829</v>
      </c>
      <c r="U11" s="25">
        <f>RCP!H2</f>
        <v>938.65317159999995</v>
      </c>
      <c r="V11" s="25">
        <f>RCP!H3</f>
        <v>937.78823280000006</v>
      </c>
      <c r="W11" s="25">
        <f>RCP!H4</f>
        <v>937.84532439999998</v>
      </c>
      <c r="X11" s="26">
        <f>RCP!H5</f>
        <v>939.2982452</v>
      </c>
      <c r="Y11" s="12">
        <f t="shared" si="15"/>
        <v>15.057509167020331</v>
      </c>
      <c r="Z11" s="13">
        <f t="shared" si="15"/>
        <v>15.04945988777739</v>
      </c>
      <c r="AA11" s="13">
        <f t="shared" si="15"/>
        <v>15.049993094766167</v>
      </c>
      <c r="AB11" s="14">
        <f t="shared" si="15"/>
        <v>15.063472678903786</v>
      </c>
      <c r="AC11" s="12">
        <f t="shared" si="22"/>
        <v>0.74259417254348259</v>
      </c>
      <c r="AD11" s="13">
        <f t="shared" si="16"/>
        <v>0.74188407216454499</v>
      </c>
      <c r="AE11" s="13">
        <f t="shared" si="16"/>
        <v>0.74193114047466091</v>
      </c>
      <c r="AF11" s="14">
        <f t="shared" si="16"/>
        <v>0.74311965832137616</v>
      </c>
      <c r="AG11" s="12">
        <f t="shared" si="23"/>
        <v>0.98312499403735354</v>
      </c>
      <c r="AH11" s="13">
        <f t="shared" si="17"/>
        <v>0.98303843232040389</v>
      </c>
      <c r="AI11" s="13">
        <f t="shared" si="17"/>
        <v>0.98304417563052204</v>
      </c>
      <c r="AJ11" s="14">
        <f t="shared" si="17"/>
        <v>0.98318893327171708</v>
      </c>
      <c r="AV11" s="209"/>
      <c r="AW11" s="132">
        <v>2060</v>
      </c>
      <c r="AX11" s="13"/>
      <c r="AY11" s="13"/>
      <c r="AZ11" s="13">
        <f t="shared" si="18"/>
        <v>14</v>
      </c>
      <c r="BA11" s="13">
        <f t="shared" si="19"/>
        <v>0.64119999999999999</v>
      </c>
      <c r="BB11" s="13">
        <f t="shared" si="20"/>
        <v>0.96920000000000017</v>
      </c>
      <c r="BC11" s="13">
        <f t="shared" si="21"/>
        <v>1.5115408608858394</v>
      </c>
      <c r="BD11" s="156">
        <v>33.592890099999998</v>
      </c>
      <c r="BE11" s="156">
        <v>8.8397922900000001</v>
      </c>
      <c r="BF11" s="13">
        <f t="shared" si="6"/>
        <v>3.8001899816132441</v>
      </c>
      <c r="BG11" s="13">
        <f t="shared" si="7"/>
        <v>42.432682389999997</v>
      </c>
      <c r="BH11" s="239">
        <v>92.90756365</v>
      </c>
      <c r="BI11" s="14"/>
      <c r="BJ11" s="14">
        <v>180.16636808000001</v>
      </c>
      <c r="BK11" s="23"/>
      <c r="BL11" s="239">
        <v>180.16636808000001</v>
      </c>
      <c r="BM11" s="14"/>
      <c r="BN11" s="23"/>
      <c r="BO11" s="23"/>
      <c r="BP11" s="13"/>
      <c r="BQ11" s="13"/>
      <c r="BR11" s="13"/>
    </row>
    <row r="12" spans="1:70" x14ac:dyDescent="0.25">
      <c r="A12" s="42">
        <v>2015</v>
      </c>
      <c r="B12" s="12">
        <f>SUMIF('EDU projections'!$B$37:$B$63,'1'!$A12,'EDU projections'!$D$37:$D$63)</f>
        <v>0.27</v>
      </c>
      <c r="C12" s="13">
        <f>SUMIF('EDU projections'!$B$64:$B$90,'1'!$A12,'EDU projections'!$D$64:$D$90)</f>
        <v>0.04</v>
      </c>
      <c r="D12" s="13">
        <f>SUMIF('EDU projections'!$B$91:$B$117,'1'!$A12,'EDU projections'!$D$91:$D$117)</f>
        <v>0.1</v>
      </c>
      <c r="E12" s="13">
        <f>SUMIF('EDU projections'!$B$118:$B$144,'1'!$A12,'EDU projections'!$D$118:$D$144)</f>
        <v>0.19</v>
      </c>
      <c r="F12" s="13">
        <f>SUMIF('EDU projections'!$B$145:$B$171,'1'!$A12,'EDU projections'!$D$145:$D$171)</f>
        <v>7.0000000000000007E-2</v>
      </c>
      <c r="G12" s="13">
        <f>SUMIF('EDU projections'!$B$172:$B$198,'1'!$A12,'EDU projections'!$D$172:$D$198)</f>
        <v>0.2</v>
      </c>
      <c r="H12" s="14">
        <f>SUMIF('EDU projections'!$B$199:$B$225,'1'!$A12,'EDU projections'!$D$199:$D$225)</f>
        <v>0.13</v>
      </c>
      <c r="I12" s="12">
        <f t="shared" si="8"/>
        <v>0.27</v>
      </c>
      <c r="J12" s="13">
        <f t="shared" si="9"/>
        <v>0.4</v>
      </c>
      <c r="K12" s="13">
        <f t="shared" si="10"/>
        <v>0.33</v>
      </c>
      <c r="L12" s="24">
        <f>SUMIF(UN!$A$10:'UN'!$A$95,A12,UN!$B$10:'UN'!$B$95)</f>
        <v>48228.703999999998</v>
      </c>
      <c r="M12" s="44"/>
      <c r="N12" s="61">
        <f t="shared" si="11"/>
        <v>13.02175008</v>
      </c>
      <c r="O12" s="61">
        <f t="shared" si="3"/>
        <v>19.291481600000001</v>
      </c>
      <c r="P12" s="62">
        <f t="shared" si="3"/>
        <v>15.915472320000001</v>
      </c>
      <c r="Q12" s="89">
        <f t="shared" si="12"/>
        <v>35.206953920000004</v>
      </c>
      <c r="R12" s="29">
        <f t="shared" si="13"/>
        <v>0.82500000000000007</v>
      </c>
      <c r="S12" s="12"/>
      <c r="T12" s="23"/>
      <c r="U12" s="25"/>
      <c r="V12" s="25"/>
      <c r="W12" s="25"/>
      <c r="X12" s="26"/>
      <c r="Y12" s="12"/>
      <c r="Z12" s="13"/>
      <c r="AA12" s="13"/>
      <c r="AB12" s="14"/>
      <c r="AC12" s="12"/>
      <c r="AD12" s="13"/>
      <c r="AE12" s="13"/>
      <c r="AF12" s="14"/>
      <c r="AG12" s="12"/>
      <c r="AH12" s="13"/>
      <c r="AI12" s="13"/>
      <c r="AJ12" s="14"/>
      <c r="AV12" s="209"/>
      <c r="AW12" s="132">
        <v>2080</v>
      </c>
      <c r="AX12" s="13"/>
      <c r="AY12" s="13"/>
      <c r="AZ12" s="13">
        <f t="shared" si="18"/>
        <v>14</v>
      </c>
      <c r="BA12" s="13">
        <f t="shared" si="19"/>
        <v>0.64119999999999999</v>
      </c>
      <c r="BB12" s="13">
        <f t="shared" si="20"/>
        <v>0.96920000000000017</v>
      </c>
      <c r="BC12" s="13">
        <f t="shared" si="21"/>
        <v>1.5115408608858394</v>
      </c>
      <c r="BD12" s="156">
        <v>35.372174370000003</v>
      </c>
      <c r="BE12" s="156">
        <v>4.48061036</v>
      </c>
      <c r="BF12" s="13">
        <f t="shared" si="6"/>
        <v>7.894499081147508</v>
      </c>
      <c r="BG12" s="13">
        <f t="shared" si="7"/>
        <v>39.852784730000003</v>
      </c>
      <c r="BH12" s="239">
        <v>158.75231382000001</v>
      </c>
      <c r="BI12" s="14"/>
      <c r="BJ12" s="14">
        <v>301.95990325000002</v>
      </c>
      <c r="BK12" s="23"/>
      <c r="BL12" s="239">
        <v>301.95990325000002</v>
      </c>
      <c r="BM12" s="14"/>
      <c r="BN12" s="23"/>
      <c r="BO12" s="23"/>
      <c r="BP12" s="13"/>
      <c r="BQ12" s="13"/>
      <c r="BR12" s="13"/>
    </row>
    <row r="13" spans="1:70" ht="15.75" thickBot="1" x14ac:dyDescent="0.3">
      <c r="A13" s="42">
        <v>2020</v>
      </c>
      <c r="B13" s="12">
        <f>SUMIF('EDU projections'!$B$37:$B$63,'1'!$A13,'EDU projections'!$D$37:$D$63)</f>
        <v>0.25</v>
      </c>
      <c r="C13" s="13">
        <f>SUMIF('EDU projections'!$B$64:$B$90,'1'!$A13,'EDU projections'!$D$64:$D$90)</f>
        <v>0.04</v>
      </c>
      <c r="D13" s="13">
        <f>SUMIF('EDU projections'!$B$91:$B$117,'1'!$A13,'EDU projections'!$D$91:$D$117)</f>
        <v>0.09</v>
      </c>
      <c r="E13" s="13">
        <f>SUMIF('EDU projections'!$B$118:$B$144,'1'!$A13,'EDU projections'!$D$118:$D$144)</f>
        <v>0.18</v>
      </c>
      <c r="F13" s="13">
        <f>SUMIF('EDU projections'!$B$145:$B$171,'1'!$A13,'EDU projections'!$D$145:$D$171)</f>
        <v>0.08</v>
      </c>
      <c r="G13" s="13">
        <f>SUMIF('EDU projections'!$B$172:$B$198,'1'!$A13,'EDU projections'!$D$172:$D$198)</f>
        <v>0.22</v>
      </c>
      <c r="H13" s="14">
        <f>SUMIF('EDU projections'!$B$199:$B$225,'1'!$A13,'EDU projections'!$D$199:$D$225)</f>
        <v>0.15</v>
      </c>
      <c r="I13" s="12">
        <f t="shared" si="8"/>
        <v>0.25</v>
      </c>
      <c r="J13" s="13">
        <f t="shared" si="9"/>
        <v>0.39</v>
      </c>
      <c r="K13" s="13">
        <f t="shared" si="10"/>
        <v>0.37</v>
      </c>
      <c r="L13" s="24">
        <f>SUMIF(UN!$A$10:'UN'!$A$95,A13,UN!$B$10:'UN'!$B$95)</f>
        <v>50228.928</v>
      </c>
      <c r="M13" s="45">
        <f>(L13-L9)/L9</f>
        <v>0.25893398523594585</v>
      </c>
      <c r="N13" s="61">
        <f t="shared" si="11"/>
        <v>12.557232000000001</v>
      </c>
      <c r="O13" s="61">
        <f t="shared" si="3"/>
        <v>19.589281920000001</v>
      </c>
      <c r="P13" s="62">
        <f t="shared" si="3"/>
        <v>18.584703359999999</v>
      </c>
      <c r="Q13" s="96">
        <f t="shared" si="12"/>
        <v>38.173985279999997</v>
      </c>
      <c r="R13" s="175">
        <f t="shared" si="13"/>
        <v>0.94871794871794857</v>
      </c>
      <c r="S13" s="12"/>
      <c r="T13" s="23"/>
      <c r="U13" s="63">
        <f>RCP!I2</f>
        <v>998.13992640000004</v>
      </c>
      <c r="V13" s="63">
        <f>RCP!I3</f>
        <v>1000.5514476000001</v>
      </c>
      <c r="W13" s="63">
        <f>RCP!I4</f>
        <v>994.96747360000006</v>
      </c>
      <c r="X13" s="64">
        <f>RCP!J4</f>
        <v>1049.3453252000002</v>
      </c>
      <c r="Y13" s="12">
        <f>$Z$5+$AB$3*(U13-U$9)^$AB$4*(1-$AB$5*$Z$5)</f>
        <v>15.511533147240669</v>
      </c>
      <c r="Z13" s="13">
        <f>$Z$5+$AB$3*(V13-V$9)^$AB$4*(1-$AB$5*$Z$5)</f>
        <v>15.52709435823204</v>
      </c>
      <c r="AA13" s="13">
        <f>$Z$5+$AB$3*(W13-W$9)^$AB$4*(1-$AB$5*$Z$5)</f>
        <v>15.490814376711644</v>
      </c>
      <c r="AB13" s="14">
        <f>$Z$5+$AB$3*(X13-X$9)^$AB$4*(1-$AB$5*$Z$5)</f>
        <v>15.813493799867789</v>
      </c>
      <c r="AC13" s="142">
        <f t="shared" ref="AC13:AF13" si="24">MAX(0.001, $AD$3+$AD$4*Y13+$AD$5*Y13^2)</f>
        <v>0.78111628713111947</v>
      </c>
      <c r="AD13" s="143">
        <f t="shared" si="24"/>
        <v>0.78238325010654641</v>
      </c>
      <c r="AE13" s="143">
        <f t="shared" si="24"/>
        <v>0.77942391863491189</v>
      </c>
      <c r="AF13" s="144">
        <f t="shared" si="24"/>
        <v>0.80507001140254242</v>
      </c>
      <c r="AG13" s="142">
        <f t="shared" si="23"/>
        <v>0.98752503244997769</v>
      </c>
      <c r="AH13" s="143">
        <f t="shared" si="17"/>
        <v>0.9876590324768485</v>
      </c>
      <c r="AI13" s="143">
        <f t="shared" si="17"/>
        <v>0.98734489101333855</v>
      </c>
      <c r="AJ13" s="144">
        <f t="shared" si="17"/>
        <v>0.98992635582497213</v>
      </c>
      <c r="AV13" s="210"/>
      <c r="AW13" s="133">
        <v>2100</v>
      </c>
      <c r="AX13" s="16"/>
      <c r="AY13" s="16"/>
      <c r="AZ13" s="16">
        <f t="shared" si="18"/>
        <v>14</v>
      </c>
      <c r="BA13" s="16">
        <f t="shared" si="19"/>
        <v>0.64119999999999999</v>
      </c>
      <c r="BB13" s="16">
        <f t="shared" si="20"/>
        <v>0.96920000000000017</v>
      </c>
      <c r="BC13" s="16">
        <f t="shared" si="21"/>
        <v>1.5115408608858394</v>
      </c>
      <c r="BD13" s="157">
        <v>33.884356609999998</v>
      </c>
      <c r="BE13" s="157">
        <v>2.0661193099999999</v>
      </c>
      <c r="BF13" s="16">
        <f t="shared" si="6"/>
        <v>16.399999964184062</v>
      </c>
      <c r="BG13" s="16">
        <f t="shared" si="7"/>
        <v>35.950475919999995</v>
      </c>
      <c r="BH13" s="240">
        <v>0</v>
      </c>
      <c r="BI13" s="17"/>
      <c r="BJ13" s="17">
        <v>477.86926363999999</v>
      </c>
      <c r="BK13" s="53"/>
      <c r="BL13" s="240">
        <v>477.86926363999999</v>
      </c>
      <c r="BM13" s="17"/>
      <c r="BN13" s="53"/>
      <c r="BO13" s="53"/>
      <c r="BP13" s="13"/>
      <c r="BQ13" s="13"/>
      <c r="BR13" s="13"/>
    </row>
    <row r="14" spans="1:70" x14ac:dyDescent="0.25">
      <c r="A14" s="42">
        <v>2025</v>
      </c>
      <c r="B14" s="12">
        <f>SUMIF('EDU projections'!$B$37:$B$63,'1'!$A14,'EDU projections'!$D$37:$D$63)</f>
        <v>0.23</v>
      </c>
      <c r="C14" s="13">
        <f>SUMIF('EDU projections'!$B$64:$B$90,'1'!$A14,'EDU projections'!$D$64:$D$90)</f>
        <v>0.03</v>
      </c>
      <c r="D14" s="13">
        <f>SUMIF('EDU projections'!$B$91:$B$117,'1'!$A14,'EDU projections'!$D$91:$D$117)</f>
        <v>0.08</v>
      </c>
      <c r="E14" s="13">
        <f>SUMIF('EDU projections'!$B$118:$B$144,'1'!$A14,'EDU projections'!$D$118:$D$144)</f>
        <v>0.17</v>
      </c>
      <c r="F14" s="13">
        <f>SUMIF('EDU projections'!$B$145:$B$171,'1'!$A14,'EDU projections'!$D$145:$D$171)</f>
        <v>0.08</v>
      </c>
      <c r="G14" s="13">
        <f>SUMIF('EDU projections'!$B$172:$B$198,'1'!$A14,'EDU projections'!$D$172:$D$198)</f>
        <v>0.24</v>
      </c>
      <c r="H14" s="14">
        <f>SUMIF('EDU projections'!$B$199:$B$225,'1'!$A14,'EDU projections'!$D$199:$D$225)</f>
        <v>0.17</v>
      </c>
      <c r="I14" s="12">
        <f t="shared" si="8"/>
        <v>0.23</v>
      </c>
      <c r="J14" s="13">
        <f t="shared" si="9"/>
        <v>0.36000000000000004</v>
      </c>
      <c r="K14" s="13">
        <f t="shared" si="10"/>
        <v>0.41000000000000003</v>
      </c>
      <c r="L14" s="24">
        <f>SUMIF(UN!$A$10:'UN'!$A$95,A14,UN!$B$10:'UN'!$B$95)</f>
        <v>51877.661</v>
      </c>
      <c r="M14" s="44"/>
      <c r="N14" s="61">
        <f t="shared" si="11"/>
        <v>11.93186203</v>
      </c>
      <c r="O14" s="61">
        <f t="shared" si="3"/>
        <v>18.675957960000002</v>
      </c>
      <c r="P14" s="62">
        <f t="shared" si="3"/>
        <v>21.26984101</v>
      </c>
      <c r="Q14" s="89">
        <f t="shared" si="12"/>
        <v>39.945798969999998</v>
      </c>
      <c r="R14" s="29">
        <f t="shared" si="13"/>
        <v>1.1388888888888888</v>
      </c>
      <c r="S14" s="12"/>
      <c r="T14" s="23"/>
      <c r="U14" s="25"/>
      <c r="V14" s="25"/>
      <c r="W14" s="25"/>
      <c r="X14" s="26"/>
      <c r="Y14" s="12"/>
      <c r="Z14" s="13"/>
      <c r="AA14" s="13"/>
      <c r="AB14" s="14"/>
      <c r="AC14" s="12"/>
      <c r="AD14" s="13"/>
      <c r="AE14" s="13"/>
      <c r="AF14" s="14"/>
      <c r="AG14" s="12"/>
      <c r="AH14" s="13"/>
      <c r="AI14" s="13"/>
      <c r="AJ14" s="14"/>
      <c r="AV14" s="208" t="s">
        <v>124</v>
      </c>
      <c r="AW14" s="131">
        <v>2000</v>
      </c>
      <c r="AX14" s="10"/>
      <c r="AY14" s="10"/>
      <c r="AZ14" s="150">
        <f>(SUMIF($A$3:$A$29,AW14,$Y$3:$Y$29)-$AZ$8)/$AZ$8</f>
        <v>0</v>
      </c>
      <c r="BA14" s="150">
        <f>(SUMIF($A$3:$A$29,AW14,$AC$3:$AC$29)-$BA8)/$BA8</f>
        <v>0</v>
      </c>
      <c r="BB14" s="150">
        <f>(SUMIF($A$3:$A$29,AW14,$AG$3:$AG$29)-$BB8)/$BB8</f>
        <v>0</v>
      </c>
      <c r="BC14" s="150">
        <f>(SUMIF($A$3:$A$29,AW14,$AG$3:$AG$29)/SUMIF($A$3:$A$29,AW14,$AC$3:$AC$29)-$BC8)/$BC8</f>
        <v>0</v>
      </c>
      <c r="BD14" s="158">
        <v>7.95740947</v>
      </c>
      <c r="BE14" s="158">
        <v>18.772590529999999</v>
      </c>
      <c r="BF14" s="150">
        <f>(BD14/BE14-$BF$8)/$BF$8</f>
        <v>0</v>
      </c>
      <c r="BG14" s="150">
        <f>((BD14+BE14)-$BG$8)/$BG$8</f>
        <v>0</v>
      </c>
      <c r="BH14" s="241">
        <v>8.0909795100000004</v>
      </c>
      <c r="BI14" s="154">
        <f>(BH14-$BH$8)/$BH$8</f>
        <v>1.3889439561500306E-2</v>
      </c>
      <c r="BJ14" s="197">
        <v>18.904940849999999</v>
      </c>
      <c r="BK14" s="194">
        <f>(BJ14-$BJ8)/$BJ8</f>
        <v>0</v>
      </c>
      <c r="BL14" s="241">
        <v>18.904940849999999</v>
      </c>
      <c r="BM14" s="154">
        <f>(BL14-$BL$8)/$BL$8</f>
        <v>0</v>
      </c>
      <c r="BN14" s="27">
        <f>SUMIF($A$3:$A$29,AW14,$U$3:$U$29)</f>
        <v>881.61855719999994</v>
      </c>
      <c r="BO14" s="27">
        <f>SUMIF($A$3:$A$29,AW14,$Y$3:$Y$29)</f>
        <v>14</v>
      </c>
      <c r="BP14" s="13"/>
      <c r="BQ14" s="13"/>
      <c r="BR14" s="13"/>
    </row>
    <row r="15" spans="1:70" x14ac:dyDescent="0.25">
      <c r="A15" s="42">
        <v>2030</v>
      </c>
      <c r="B15" s="12">
        <f>SUMIF('EDU projections'!$B$37:$B$63,'1'!$A15,'EDU projections'!$D$37:$D$63)</f>
        <v>0.22</v>
      </c>
      <c r="C15" s="13">
        <f>SUMIF('EDU projections'!$B$64:$B$90,'1'!$A15,'EDU projections'!$D$64:$D$90)</f>
        <v>0.03</v>
      </c>
      <c r="D15" s="13">
        <f>SUMIF('EDU projections'!$B$91:$B$117,'1'!$A15,'EDU projections'!$D$91:$D$117)</f>
        <v>7.0000000000000007E-2</v>
      </c>
      <c r="E15" s="13">
        <f>SUMIF('EDU projections'!$B$118:$B$144,'1'!$A15,'EDU projections'!$D$118:$D$144)</f>
        <v>0.16</v>
      </c>
      <c r="F15" s="13">
        <f>SUMIF('EDU projections'!$B$145:$B$171,'1'!$A15,'EDU projections'!$D$145:$D$171)</f>
        <v>7.0000000000000007E-2</v>
      </c>
      <c r="G15" s="13">
        <f>SUMIF('EDU projections'!$B$172:$B$198,'1'!$A15,'EDU projections'!$D$172:$D$198)</f>
        <v>0.26</v>
      </c>
      <c r="H15" s="14">
        <f>SUMIF('EDU projections'!$B$199:$B$225,'1'!$A15,'EDU projections'!$D$199:$D$225)</f>
        <v>0.19</v>
      </c>
      <c r="I15" s="12">
        <f t="shared" si="8"/>
        <v>0.22</v>
      </c>
      <c r="J15" s="13">
        <f t="shared" si="9"/>
        <v>0.33</v>
      </c>
      <c r="K15" s="13">
        <f t="shared" si="10"/>
        <v>0.45</v>
      </c>
      <c r="L15" s="24">
        <f>SUMIF(UN!$A$10:'UN'!$A$95,A15,UN!$B$10:'UN'!$B$95)</f>
        <v>53175.178999999996</v>
      </c>
      <c r="M15" s="44"/>
      <c r="N15" s="61">
        <f t="shared" si="11"/>
        <v>11.69853938</v>
      </c>
      <c r="O15" s="61">
        <f t="shared" si="3"/>
        <v>17.54780907</v>
      </c>
      <c r="P15" s="62">
        <f t="shared" si="3"/>
        <v>23.928830549999997</v>
      </c>
      <c r="Q15" s="89">
        <f t="shared" si="12"/>
        <v>41.47663962</v>
      </c>
      <c r="R15" s="29">
        <f t="shared" si="13"/>
        <v>1.3636363636363635</v>
      </c>
      <c r="S15" s="12"/>
      <c r="T15" s="23"/>
      <c r="U15" s="25">
        <f>RCP!J2</f>
        <v>1040.2817316000001</v>
      </c>
      <c r="V15" s="25">
        <f>RCP!J3</f>
        <v>1068.0541768000001</v>
      </c>
      <c r="W15" s="25">
        <f>RCP!I5</f>
        <v>1023.4482532</v>
      </c>
      <c r="X15" s="26">
        <f>RCP!J5</f>
        <v>1132.8284660000002</v>
      </c>
      <c r="Y15" s="12">
        <f>$Z$5+$AB$3*(U15-U$9)^$AB$4*(1-$AB$5*$Z$5)</f>
        <v>15.76381469035702</v>
      </c>
      <c r="Z15" s="13">
        <f>$Z$5+$AB$3*(V15-V$9)^$AB$4*(1-$AB$5*$Z$5)</f>
        <v>15.911962328494782</v>
      </c>
      <c r="AA15" s="13">
        <f>$Z$5+$AB$3*(W15-W$9)^$AB$4*(1-$AB$5*$Z$5)</f>
        <v>15.667625286930827</v>
      </c>
      <c r="AB15" s="14">
        <f>$Z$5+$AB$3*(X15-X$9)^$AB$4*(1-$AB$5*$Z$5)</f>
        <v>16.219388180358173</v>
      </c>
      <c r="AC15" s="12">
        <f t="shared" ref="AC15:AF15" si="25">MAX(0.001, $AD$3+$AD$4*Y15+$AD$5*Y15^2)</f>
        <v>0.80122059340897689</v>
      </c>
      <c r="AD15" s="13">
        <f t="shared" si="25"/>
        <v>0.81259341762930148</v>
      </c>
      <c r="AE15" s="13">
        <f t="shared" si="25"/>
        <v>0.7936648688134722</v>
      </c>
      <c r="AF15" s="14">
        <f t="shared" si="25"/>
        <v>0.83517112305077723</v>
      </c>
      <c r="AG15" s="12">
        <f t="shared" si="23"/>
        <v>0.98956011196715532</v>
      </c>
      <c r="AH15" s="13">
        <f t="shared" si="17"/>
        <v>0.99061873244967735</v>
      </c>
      <c r="AI15" s="13">
        <f t="shared" si="17"/>
        <v>0.98881871405161548</v>
      </c>
      <c r="AJ15" s="14">
        <f t="shared" si="17"/>
        <v>0.99249338265482645</v>
      </c>
      <c r="AV15" s="209"/>
      <c r="AW15" s="132">
        <v>2020</v>
      </c>
      <c r="AX15" s="13"/>
      <c r="AY15" s="13"/>
      <c r="AZ15" s="151">
        <f>(SUMIF($A$3:$A$29,AW15,$Y$3:$Y$29)-$AZ$9)/$AZ$9</f>
        <v>0.10796665337433353</v>
      </c>
      <c r="BA15" s="151">
        <f t="shared" ref="BA15:BA19" si="26">(SUMIF($A$3:$A$29,AW15,$AC$3:$AC$29)-$BA9)/$BA9</f>
        <v>0.21821005478964361</v>
      </c>
      <c r="BB15" s="151">
        <f t="shared" ref="BB15:BB19" si="27">(SUMIF($A$3:$A$29,AW15,$AG$3:$AG$29)-$BB9)/$BB9</f>
        <v>1.890737974615922E-2</v>
      </c>
      <c r="BC15" s="151">
        <f t="shared" ref="BC15:BC19" si="28">(SUMIF($A$3:$A$29,AW15,$AG$3:$AG$29)/SUMIF($A$3:$A$29,AW15,$AC$3:$AC$29)-$BC9)/$BC9</f>
        <v>-0.16360288134208453</v>
      </c>
      <c r="BD15" s="156">
        <v>17.523437950000002</v>
      </c>
      <c r="BE15" s="156">
        <v>18.202420230000001</v>
      </c>
      <c r="BF15" s="151">
        <f>(BD15/BE15-$BF$9)/$BF$9</f>
        <v>9.3259876828626617E-2</v>
      </c>
      <c r="BG15" s="151">
        <f>((BD15+BE15)-$BG$9)/$BG$9</f>
        <v>-2.3705871256079498E-2</v>
      </c>
      <c r="BH15" s="242">
        <v>23.477863159999998</v>
      </c>
      <c r="BI15" s="155">
        <f>(BH15-$BH$9)/$BH$9</f>
        <v>8.4057928446430258E-2</v>
      </c>
      <c r="BJ15" s="198">
        <v>47.72914403</v>
      </c>
      <c r="BK15" s="44">
        <f t="shared" ref="BK15:BK19" si="29">(BJ15-$BJ9)/$BJ9</f>
        <v>2.6949011399164433E-2</v>
      </c>
      <c r="BL15" s="242">
        <v>49.808540280000003</v>
      </c>
      <c r="BM15" s="155">
        <f>(BL15-$BL$9)/$BL$9</f>
        <v>7.168968225432186E-2</v>
      </c>
      <c r="BN15" s="23">
        <f t="shared" ref="BN15:BN19" si="30">SUMIF($A$3:$A$29,AW15,$U$3:$U$29)</f>
        <v>998.13992640000004</v>
      </c>
      <c r="BO15" s="23">
        <f t="shared" ref="BO15:BO19" si="31">SUMIF($A$3:$A$29,AW15,$Y$3:$Y$29)</f>
        <v>15.511533147240669</v>
      </c>
      <c r="BP15" s="13"/>
      <c r="BQ15" s="13"/>
      <c r="BR15" s="13"/>
    </row>
    <row r="16" spans="1:70" x14ac:dyDescent="0.25">
      <c r="A16" s="42">
        <v>2035</v>
      </c>
      <c r="B16" s="12">
        <f>SUMIF('EDU projections'!$B$37:$B$63,'1'!$A16,'EDU projections'!$D$37:$D$63)</f>
        <v>0.21</v>
      </c>
      <c r="C16" s="13">
        <f>SUMIF('EDU projections'!$B$64:$B$90,'1'!$A16,'EDU projections'!$D$64:$D$90)</f>
        <v>0.02</v>
      </c>
      <c r="D16" s="13">
        <f>SUMIF('EDU projections'!$B$91:$B$117,'1'!$A16,'EDU projections'!$D$91:$D$117)</f>
        <v>0.06</v>
      </c>
      <c r="E16" s="13">
        <f>SUMIF('EDU projections'!$B$118:$B$144,'1'!$A16,'EDU projections'!$D$118:$D$144)</f>
        <v>0.15</v>
      </c>
      <c r="F16" s="13">
        <f>SUMIF('EDU projections'!$B$145:$B$171,'1'!$A16,'EDU projections'!$D$145:$D$171)</f>
        <v>7.0000000000000007E-2</v>
      </c>
      <c r="G16" s="13">
        <f>SUMIF('EDU projections'!$B$172:$B$198,'1'!$A16,'EDU projections'!$D$172:$D$198)</f>
        <v>0.28000000000000003</v>
      </c>
      <c r="H16" s="14">
        <f>SUMIF('EDU projections'!$B$199:$B$225,'1'!$A16,'EDU projections'!$D$199:$D$225)</f>
        <v>0.21</v>
      </c>
      <c r="I16" s="12">
        <f t="shared" si="8"/>
        <v>0.21</v>
      </c>
      <c r="J16" s="13">
        <f t="shared" si="9"/>
        <v>0.3</v>
      </c>
      <c r="K16" s="13">
        <f t="shared" si="10"/>
        <v>0.49</v>
      </c>
      <c r="L16" s="24">
        <f>SUMIF(UN!$A$10:'UN'!$A$95,A16,UN!$B$10:'UN'!$B$95)</f>
        <v>54125.18</v>
      </c>
      <c r="M16" s="44"/>
      <c r="N16" s="61">
        <f t="shared" si="11"/>
        <v>11.3662878</v>
      </c>
      <c r="O16" s="61">
        <f t="shared" si="3"/>
        <v>16.237553999999999</v>
      </c>
      <c r="P16" s="62">
        <f t="shared" si="3"/>
        <v>26.521338199999999</v>
      </c>
      <c r="Q16" s="89">
        <f t="shared" si="12"/>
        <v>42.758892199999998</v>
      </c>
      <c r="R16" s="29">
        <f t="shared" si="13"/>
        <v>1.6333333333333333</v>
      </c>
      <c r="S16" s="12"/>
      <c r="T16" s="23"/>
      <c r="U16" s="25"/>
      <c r="V16" s="25"/>
      <c r="W16" s="25"/>
      <c r="X16" s="26"/>
      <c r="Y16" s="12"/>
      <c r="Z16" s="13"/>
      <c r="AA16" s="13"/>
      <c r="AB16" s="14"/>
      <c r="AC16" s="12"/>
      <c r="AD16" s="13"/>
      <c r="AE16" s="13"/>
      <c r="AF16" s="14"/>
      <c r="AG16" s="12"/>
      <c r="AH16" s="13"/>
      <c r="AI16" s="13"/>
      <c r="AJ16" s="14"/>
      <c r="AV16" s="209"/>
      <c r="AW16" s="132">
        <v>2040</v>
      </c>
      <c r="AX16" s="13"/>
      <c r="AY16" s="13"/>
      <c r="AZ16" s="151">
        <f>(SUMIF($A$3:$A$29,AW16,$Y$3:$Y$29)-$AZ$10)/$AZ$10</f>
        <v>0.13471863578220397</v>
      </c>
      <c r="BA16" s="151">
        <f t="shared" si="26"/>
        <v>0.26423605983657272</v>
      </c>
      <c r="BB16" s="151">
        <f t="shared" si="27"/>
        <v>2.1915941904677643E-2</v>
      </c>
      <c r="BC16" s="151">
        <f t="shared" si="28"/>
        <v>-0.19167315790946485</v>
      </c>
      <c r="BD16" s="156">
        <v>26.86300756</v>
      </c>
      <c r="BE16" s="156">
        <v>13.20392828</v>
      </c>
      <c r="BF16" s="151">
        <f>(BD16/BE16-$BF$10)/$BF$10</f>
        <v>0.11215530828396396</v>
      </c>
      <c r="BG16" s="151">
        <f>((BD16+BE16)-$BG$10)/$BG$10</f>
        <v>-4.4564334287024922E-2</v>
      </c>
      <c r="BH16" s="242">
        <v>51.988462349999999</v>
      </c>
      <c r="BI16" s="155">
        <f>(BH16-$BH$10)/$BH$10</f>
        <v>6.9441707326046542E-2</v>
      </c>
      <c r="BJ16" s="198">
        <v>100.40017322999999</v>
      </c>
      <c r="BK16" s="44">
        <f t="shared" si="29"/>
        <v>2.6571435324439768E-2</v>
      </c>
      <c r="BL16" s="242">
        <v>103.88618361</v>
      </c>
      <c r="BM16" s="155">
        <f>(BL16-$BL$10)/$BL$10</f>
        <v>6.2215185372105963E-2</v>
      </c>
      <c r="BN16" s="23">
        <f t="shared" si="30"/>
        <v>1063.0370908</v>
      </c>
      <c r="BO16" s="23">
        <f t="shared" si="31"/>
        <v>15.886060900950856</v>
      </c>
      <c r="BP16" s="13"/>
      <c r="BQ16" s="13"/>
      <c r="BR16" s="13"/>
    </row>
    <row r="17" spans="1:70" x14ac:dyDescent="0.25">
      <c r="A17" s="42">
        <v>2040</v>
      </c>
      <c r="B17" s="12">
        <f>SUMIF('EDU projections'!$B$37:$B$63,'1'!$A17,'EDU projections'!$D$37:$D$63)</f>
        <v>0.2</v>
      </c>
      <c r="C17" s="13">
        <f>SUMIF('EDU projections'!$B$64:$B$90,'1'!$A17,'EDU projections'!$D$64:$D$90)</f>
        <v>0.02</v>
      </c>
      <c r="D17" s="13">
        <f>SUMIF('EDU projections'!$B$91:$B$117,'1'!$A17,'EDU projections'!$D$91:$D$117)</f>
        <v>0.05</v>
      </c>
      <c r="E17" s="13">
        <f>SUMIF('EDU projections'!$B$118:$B$144,'1'!$A17,'EDU projections'!$D$118:$D$144)</f>
        <v>0.14000000000000001</v>
      </c>
      <c r="F17" s="13">
        <f>SUMIF('EDU projections'!$B$145:$B$171,'1'!$A17,'EDU projections'!$D$145:$D$171)</f>
        <v>7.0000000000000007E-2</v>
      </c>
      <c r="G17" s="13">
        <f>SUMIF('EDU projections'!$B$172:$B$198,'1'!$A17,'EDU projections'!$D$172:$D$198)</f>
        <v>0.3</v>
      </c>
      <c r="H17" s="14">
        <f>SUMIF('EDU projections'!$B$199:$B$225,'1'!$A17,'EDU projections'!$D$199:$D$225)</f>
        <v>0.23</v>
      </c>
      <c r="I17" s="12">
        <f t="shared" si="8"/>
        <v>0.2</v>
      </c>
      <c r="J17" s="13">
        <f t="shared" si="9"/>
        <v>0.28000000000000003</v>
      </c>
      <c r="K17" s="13">
        <f t="shared" si="10"/>
        <v>0.53</v>
      </c>
      <c r="L17" s="24">
        <f>SUMIF(UN!$A$10:'UN'!$A$95,A17,UN!$B$10:'UN'!$B$95)</f>
        <v>54722.67</v>
      </c>
      <c r="M17" s="45">
        <f>(L17-L13)/L13</f>
        <v>8.9465218130874671E-2</v>
      </c>
      <c r="N17" s="61">
        <f t="shared" si="11"/>
        <v>10.944533999999999</v>
      </c>
      <c r="O17" s="61">
        <f t="shared" si="3"/>
        <v>15.322347600000001</v>
      </c>
      <c r="P17" s="62">
        <f t="shared" si="3"/>
        <v>29.003015099999999</v>
      </c>
      <c r="Q17" s="96">
        <f t="shared" si="12"/>
        <v>44.325362699999999</v>
      </c>
      <c r="R17" s="175">
        <f t="shared" si="13"/>
        <v>1.8928571428571428</v>
      </c>
      <c r="S17" s="12"/>
      <c r="T17" s="23"/>
      <c r="U17" s="63">
        <f>RCP!K2</f>
        <v>1063.0370908</v>
      </c>
      <c r="V17" s="63">
        <f>RCP!K3</f>
        <v>1138.9385179999999</v>
      </c>
      <c r="W17" s="63">
        <f>RCP!K4</f>
        <v>1112.9290860000001</v>
      </c>
      <c r="X17" s="64">
        <f>RCP!K5</f>
        <v>1270.6069692000001</v>
      </c>
      <c r="Y17" s="12">
        <f>$Z$5+$AB$3*(U17-U$9)^$AB$4*(1-$AB$5*$Z$5)</f>
        <v>15.886060900950856</v>
      </c>
      <c r="Z17" s="13">
        <f>$Z$5+$AB$3*(V17-V$9)^$AB$4*(1-$AB$5*$Z$5)</f>
        <v>16.246216557216048</v>
      </c>
      <c r="AA17" s="13">
        <f>$Z$5+$AB$3*(W17-W$9)^$AB$4*(1-$AB$5*$Z$5)</f>
        <v>16.129671340928748</v>
      </c>
      <c r="AB17" s="14">
        <f>$Z$5+$AB$3*(X17-X$9)^$AB$4*(1-$AB$5*$Z$5)</f>
        <v>16.761742719609664</v>
      </c>
      <c r="AC17" s="142">
        <f t="shared" ref="AC17:AF17" si="32">MAX(0.001, $AD$3+$AD$4*Y17+$AD$5*Y17^2)</f>
        <v>0.8106281615672104</v>
      </c>
      <c r="AD17" s="143">
        <f t="shared" si="32"/>
        <v>0.8370759669276282</v>
      </c>
      <c r="AE17" s="143">
        <f t="shared" si="32"/>
        <v>0.82872480077149291</v>
      </c>
      <c r="AF17" s="144">
        <f t="shared" si="32"/>
        <v>0.87163781895154679</v>
      </c>
      <c r="AG17" s="142">
        <f t="shared" si="23"/>
        <v>0.99044093089401375</v>
      </c>
      <c r="AH17" s="143">
        <f t="shared" si="17"/>
        <v>0.99263635400217398</v>
      </c>
      <c r="AI17" s="143">
        <f t="shared" si="17"/>
        <v>0.99199122287163022</v>
      </c>
      <c r="AJ17" s="144">
        <f t="shared" si="17"/>
        <v>0.99474057387248183</v>
      </c>
      <c r="AV17" s="209"/>
      <c r="AW17" s="132">
        <v>2060</v>
      </c>
      <c r="AX17" s="13"/>
      <c r="AY17" s="13"/>
      <c r="AZ17" s="151">
        <f>(SUMIF($A$3:$A$29,AW17,$Y$3:$Y$29)-$AZ$11)/$AZ$11</f>
        <v>0.1335418065858153</v>
      </c>
      <c r="BA17" s="151">
        <f t="shared" si="26"/>
        <v>0.26227852053791462</v>
      </c>
      <c r="BB17" s="151">
        <f t="shared" si="27"/>
        <v>2.179759335458667E-2</v>
      </c>
      <c r="BC17" s="151">
        <f t="shared" si="28"/>
        <v>-0.19051336394510468</v>
      </c>
      <c r="BD17" s="156">
        <v>32.339902160000001</v>
      </c>
      <c r="BE17" s="156">
        <v>7.6571005300000001</v>
      </c>
      <c r="BF17" s="151">
        <f>(BD17/BE17-$BF$11)/$BF$11</f>
        <v>0.11139654918998176</v>
      </c>
      <c r="BG17" s="151">
        <f>((BD17+BE17)-$BG$11)/$BG$11</f>
        <v>-5.7401030592730211E-2</v>
      </c>
      <c r="BH17" s="242">
        <v>97.403390139999999</v>
      </c>
      <c r="BI17" s="155">
        <f>(BH17-$BH$11)/$BH$11</f>
        <v>4.8390317358192818E-2</v>
      </c>
      <c r="BJ17" s="198">
        <v>184.49855873999999</v>
      </c>
      <c r="BK17" s="44">
        <f t="shared" si="29"/>
        <v>2.4045501422753555E-2</v>
      </c>
      <c r="BL17" s="242">
        <v>188.23616565</v>
      </c>
      <c r="BM17" s="155">
        <f>(BL17-$BL$11)/$BL$11</f>
        <v>4.4790810049613293E-2</v>
      </c>
      <c r="BN17" s="23">
        <f t="shared" si="30"/>
        <v>1059.881386</v>
      </c>
      <c r="BO17" s="23">
        <f t="shared" si="31"/>
        <v>15.869585292201414</v>
      </c>
      <c r="BP17" s="13"/>
      <c r="BQ17" s="13"/>
      <c r="BR17" s="13"/>
    </row>
    <row r="18" spans="1:70" x14ac:dyDescent="0.25">
      <c r="A18" s="42">
        <v>2045</v>
      </c>
      <c r="B18" s="12">
        <f>SUMIF('EDU projections'!$B$37:$B$63,'1'!$A18,'EDU projections'!$D$37:$D$63)</f>
        <v>0.19</v>
      </c>
      <c r="C18" s="13">
        <f>SUMIF('EDU projections'!$B$64:$B$90,'1'!$A18,'EDU projections'!$D$64:$D$90)</f>
        <v>0.02</v>
      </c>
      <c r="D18" s="13">
        <f>SUMIF('EDU projections'!$B$91:$B$117,'1'!$A18,'EDU projections'!$D$91:$D$117)</f>
        <v>0.04</v>
      </c>
      <c r="E18" s="13">
        <f>SUMIF('EDU projections'!$B$118:$B$144,'1'!$A18,'EDU projections'!$D$118:$D$144)</f>
        <v>0.13</v>
      </c>
      <c r="F18" s="13">
        <f>SUMIF('EDU projections'!$B$145:$B$171,'1'!$A18,'EDU projections'!$D$145:$D$171)</f>
        <v>7.0000000000000007E-2</v>
      </c>
      <c r="G18" s="13">
        <f>SUMIF('EDU projections'!$B$172:$B$198,'1'!$A18,'EDU projections'!$D$172:$D$198)</f>
        <v>0.31</v>
      </c>
      <c r="H18" s="14">
        <f>SUMIF('EDU projections'!$B$199:$B$225,'1'!$A18,'EDU projections'!$D$199:$D$225)</f>
        <v>0.25</v>
      </c>
      <c r="I18" s="12">
        <f t="shared" si="8"/>
        <v>0.19</v>
      </c>
      <c r="J18" s="13">
        <f t="shared" si="9"/>
        <v>0.26</v>
      </c>
      <c r="K18" s="13">
        <f t="shared" si="10"/>
        <v>0.56000000000000005</v>
      </c>
      <c r="L18" s="24">
        <f>SUMIF(UN!$A$10:'UN'!$A$95,A18,UN!$B$10:'UN'!$B$95)</f>
        <v>54983.25</v>
      </c>
      <c r="M18" s="44"/>
      <c r="N18" s="61">
        <f t="shared" si="11"/>
        <v>10.446817500000002</v>
      </c>
      <c r="O18" s="61">
        <f t="shared" si="3"/>
        <v>14.295645</v>
      </c>
      <c r="P18" s="62">
        <f t="shared" si="3"/>
        <v>30.790620000000004</v>
      </c>
      <c r="Q18" s="89">
        <f t="shared" si="12"/>
        <v>45.086265000000004</v>
      </c>
      <c r="R18" s="29">
        <f t="shared" si="13"/>
        <v>2.1538461538461542</v>
      </c>
      <c r="S18" s="12"/>
      <c r="T18" s="23"/>
      <c r="U18" s="25"/>
      <c r="V18" s="25"/>
      <c r="W18" s="25"/>
      <c r="X18" s="26"/>
      <c r="Y18" s="12"/>
      <c r="Z18" s="13"/>
      <c r="AA18" s="13"/>
      <c r="AB18" s="14"/>
      <c r="AC18" s="12"/>
      <c r="AD18" s="13"/>
      <c r="AE18" s="13"/>
      <c r="AF18" s="14"/>
      <c r="AG18" s="12"/>
      <c r="AH18" s="13"/>
      <c r="AI18" s="13"/>
      <c r="AJ18" s="14"/>
      <c r="AV18" s="209"/>
      <c r="AW18" s="132">
        <v>2080</v>
      </c>
      <c r="AX18" s="13"/>
      <c r="AY18" s="13"/>
      <c r="AZ18" s="151">
        <f>(SUMIF($A$3:$A$29,AW18,$Y$3:$Y$29)-$AZ$12)/$AZ$12</f>
        <v>0.12345166931845368</v>
      </c>
      <c r="BA18" s="151">
        <f t="shared" si="26"/>
        <v>0.24524089046711728</v>
      </c>
      <c r="BB18" s="151">
        <f t="shared" si="27"/>
        <v>2.0729994564118313E-2</v>
      </c>
      <c r="BC18" s="151">
        <f t="shared" si="28"/>
        <v>-0.1802951522245467</v>
      </c>
      <c r="BD18" s="156">
        <v>33.461093490000003</v>
      </c>
      <c r="BE18" s="156">
        <v>3.8378009500000001</v>
      </c>
      <c r="BF18" s="151">
        <f>(BD18/BE18-$BF$12)/$BF$12</f>
        <v>0.10441705547522592</v>
      </c>
      <c r="BG18" s="151">
        <f>((BD18+BE18)-$BG$12)/$BG$12</f>
        <v>-6.4083107549508453E-2</v>
      </c>
      <c r="BH18" s="242">
        <v>164.13527608000001</v>
      </c>
      <c r="BI18" s="155">
        <f>(BH18-$BH$12)/$BH$12</f>
        <v>3.3907929468690617E-2</v>
      </c>
      <c r="BJ18" s="198">
        <v>308.52657417</v>
      </c>
      <c r="BK18" s="44">
        <f t="shared" si="29"/>
        <v>2.1746830785553905E-2</v>
      </c>
      <c r="BL18" s="242">
        <v>311.69154615999997</v>
      </c>
      <c r="BM18" s="155">
        <f>(BL18-$BL$12)/$BL$12</f>
        <v>3.2228262114466506E-2</v>
      </c>
      <c r="BN18" s="23">
        <f t="shared" si="30"/>
        <v>1033.9607608000001</v>
      </c>
      <c r="BO18" s="23">
        <f t="shared" si="31"/>
        <v>15.728323370458352</v>
      </c>
      <c r="BP18" s="13"/>
      <c r="BQ18" s="13"/>
      <c r="BR18" s="13"/>
    </row>
    <row r="19" spans="1:70" ht="15.75" thickBot="1" x14ac:dyDescent="0.3">
      <c r="A19" s="42">
        <v>2050</v>
      </c>
      <c r="B19" s="12">
        <f>SUMIF('EDU projections'!$B$37:$B$63,'1'!$A19,'EDU projections'!$D$37:$D$63)</f>
        <v>0.18</v>
      </c>
      <c r="C19" s="13">
        <f>SUMIF('EDU projections'!$B$64:$B$90,'1'!$A19,'EDU projections'!$D$64:$D$90)</f>
        <v>0.01</v>
      </c>
      <c r="D19" s="13">
        <f>SUMIF('EDU projections'!$B$91:$B$117,'1'!$A19,'EDU projections'!$D$91:$D$117)</f>
        <v>0.04</v>
      </c>
      <c r="E19" s="13">
        <f>SUMIF('EDU projections'!$B$118:$B$144,'1'!$A19,'EDU projections'!$D$118:$D$144)</f>
        <v>0.12</v>
      </c>
      <c r="F19" s="13">
        <f>SUMIF('EDU projections'!$B$145:$B$171,'1'!$A19,'EDU projections'!$D$145:$D$171)</f>
        <v>0.06</v>
      </c>
      <c r="G19" s="13">
        <f>SUMIF('EDU projections'!$B$172:$B$198,'1'!$A19,'EDU projections'!$D$172:$D$198)</f>
        <v>0.33</v>
      </c>
      <c r="H19" s="14">
        <f>SUMIF('EDU projections'!$B$199:$B$225,'1'!$A19,'EDU projections'!$D$199:$D$225)</f>
        <v>0.27</v>
      </c>
      <c r="I19" s="12">
        <f t="shared" si="8"/>
        <v>0.18</v>
      </c>
      <c r="J19" s="13">
        <f t="shared" si="9"/>
        <v>0.22999999999999998</v>
      </c>
      <c r="K19" s="13">
        <f t="shared" si="10"/>
        <v>0.60000000000000009</v>
      </c>
      <c r="L19" s="24">
        <f>SUMIF(UN!$A$10:'UN'!$A$95,A19,UN!$B$10:'UN'!$B$95)</f>
        <v>54927.275000000001</v>
      </c>
      <c r="M19" s="44"/>
      <c r="N19" s="61">
        <f t="shared" si="11"/>
        <v>9.8869094999999998</v>
      </c>
      <c r="O19" s="61">
        <f t="shared" si="3"/>
        <v>12.63327325</v>
      </c>
      <c r="P19" s="62">
        <f t="shared" si="3"/>
        <v>32.956365000000005</v>
      </c>
      <c r="Q19" s="89">
        <f t="shared" si="12"/>
        <v>45.589638250000007</v>
      </c>
      <c r="R19" s="29">
        <f t="shared" si="13"/>
        <v>2.6086956521739135</v>
      </c>
      <c r="S19" s="12"/>
      <c r="T19" s="23"/>
      <c r="U19" s="25">
        <f>RCP!L2</f>
        <v>1067.0395236000002</v>
      </c>
      <c r="V19" s="25">
        <f>RCP!L3</f>
        <v>1207.7963936000001</v>
      </c>
      <c r="W19" s="25">
        <f>RCP!L4</f>
        <v>1191.4936360000002</v>
      </c>
      <c r="X19" s="26">
        <f>RCP!L5</f>
        <v>1448.0907616000002</v>
      </c>
      <c r="Y19" s="12">
        <f>$Z$5+$AB$3*(U19-U$9)^$AB$4*(1-$AB$5*$Z$5)</f>
        <v>15.906752418953918</v>
      </c>
      <c r="Z19" s="13">
        <f>$Z$5+$AB$3*(V19-V$9)^$AB$4*(1-$AB$5*$Z$5)</f>
        <v>16.528960870278702</v>
      </c>
      <c r="AA19" s="13">
        <f>$Z$5+$AB$3*(W19-W$9)^$AB$4*(1-$AB$5*$Z$5)</f>
        <v>16.464950548802115</v>
      </c>
      <c r="AB19" s="14">
        <f>$Z$5+$AB$3*(X19-X$9)^$AB$4*(1-$AB$5*$Z$5)</f>
        <v>17.332761136420778</v>
      </c>
      <c r="AC19" s="12">
        <f t="shared" ref="AC19:AF19" si="33">MAX(0.001, $AD$3+$AD$4*Y19+$AD$5*Y19^2)</f>
        <v>0.81219890565716324</v>
      </c>
      <c r="AD19" s="13">
        <f t="shared" si="33"/>
        <v>0.85651215165204753</v>
      </c>
      <c r="AE19" s="13">
        <f t="shared" si="33"/>
        <v>0.85221421403720776</v>
      </c>
      <c r="AF19" s="14">
        <f t="shared" si="33"/>
        <v>0.90539078714840437</v>
      </c>
      <c r="AG19" s="12">
        <f t="shared" si="23"/>
        <v>0.99058321672515193</v>
      </c>
      <c r="AH19" s="13">
        <f t="shared" si="17"/>
        <v>0.99394181048452601</v>
      </c>
      <c r="AI19" s="13">
        <f t="shared" si="17"/>
        <v>0.99367847178282143</v>
      </c>
      <c r="AJ19" s="14">
        <f t="shared" si="17"/>
        <v>0.99564429110555985</v>
      </c>
      <c r="AV19" s="210"/>
      <c r="AW19" s="133">
        <v>2100</v>
      </c>
      <c r="AX19" s="16"/>
      <c r="AY19" s="16"/>
      <c r="AZ19" s="152">
        <f>(SUMIF($A$3:$A$29,AW19,$Y$3:$Y$29)-$AZ$13)/$AZ$13</f>
        <v>0.1121786048499102</v>
      </c>
      <c r="BA19" s="152">
        <f t="shared" si="26"/>
        <v>0.22566844186013266</v>
      </c>
      <c r="BB19" s="152">
        <f t="shared" si="27"/>
        <v>1.9425219092012863E-2</v>
      </c>
      <c r="BC19" s="152">
        <f t="shared" si="28"/>
        <v>-0.16826999515065869</v>
      </c>
      <c r="BD19" s="157">
        <v>31.764583819999999</v>
      </c>
      <c r="BE19" s="157">
        <v>1.7668170599999999</v>
      </c>
      <c r="BF19" s="152">
        <f>(BD19/BE19-$BF$13)/$BF$13</f>
        <v>9.6245284898419103E-2</v>
      </c>
      <c r="BG19" s="152">
        <f>((BD19+BE19)-$BG$13)/$BG$13</f>
        <v>-6.7289096405375101E-2</v>
      </c>
      <c r="BH19" s="243">
        <v>0</v>
      </c>
      <c r="BI19" s="17"/>
      <c r="BJ19" s="199">
        <v>487.35304839999998</v>
      </c>
      <c r="BK19" s="200">
        <f t="shared" si="29"/>
        <v>1.984598190676801E-2</v>
      </c>
      <c r="BL19" s="243">
        <v>489.71833717999999</v>
      </c>
      <c r="BM19" s="17">
        <f>(BL19-$BL$13)/$BL$13</f>
        <v>2.4795638559684467E-2</v>
      </c>
      <c r="BN19" s="53">
        <f t="shared" si="30"/>
        <v>1007.40863</v>
      </c>
      <c r="BO19" s="53">
        <f t="shared" si="31"/>
        <v>15.570500467898743</v>
      </c>
      <c r="BP19" s="13"/>
      <c r="BQ19" s="13"/>
      <c r="BR19" s="13"/>
    </row>
    <row r="20" spans="1:70" x14ac:dyDescent="0.25">
      <c r="A20" s="42">
        <v>2055</v>
      </c>
      <c r="B20" s="12">
        <f>SUMIF('EDU projections'!$B$37:$B$63,'1'!$A20,'EDU projections'!$D$37:$D$63)</f>
        <v>0.17</v>
      </c>
      <c r="C20" s="13">
        <f>SUMIF('EDU projections'!$B$64:$B$90,'1'!$A20,'EDU projections'!$D$64:$D$90)</f>
        <v>0.01</v>
      </c>
      <c r="D20" s="13">
        <f>SUMIF('EDU projections'!$B$91:$B$117,'1'!$A20,'EDU projections'!$D$91:$D$117)</f>
        <v>0.03</v>
      </c>
      <c r="E20" s="13">
        <f>SUMIF('EDU projections'!$B$118:$B$144,'1'!$A20,'EDU projections'!$D$118:$D$144)</f>
        <v>0.1</v>
      </c>
      <c r="F20" s="13">
        <f>SUMIF('EDU projections'!$B$145:$B$171,'1'!$A20,'EDU projections'!$D$145:$D$171)</f>
        <v>0.06</v>
      </c>
      <c r="G20" s="13">
        <f>SUMIF('EDU projections'!$B$172:$B$198,'1'!$A20,'EDU projections'!$D$172:$D$198)</f>
        <v>0.34</v>
      </c>
      <c r="H20" s="14">
        <f>SUMIF('EDU projections'!$B$199:$B$225,'1'!$A20,'EDU projections'!$D$199:$D$225)</f>
        <v>0.28999999999999998</v>
      </c>
      <c r="I20" s="12">
        <f t="shared" si="8"/>
        <v>0.17</v>
      </c>
      <c r="J20" s="13">
        <f t="shared" si="9"/>
        <v>0.2</v>
      </c>
      <c r="K20" s="13">
        <f t="shared" si="10"/>
        <v>0.63</v>
      </c>
      <c r="L20" s="24">
        <f>SUMIF(UN!$A$10:'UN'!$A$95,A20,UN!$B$10:'UN'!$B$95)</f>
        <v>54614.807999999997</v>
      </c>
      <c r="M20" s="44"/>
      <c r="N20" s="61">
        <f t="shared" si="11"/>
        <v>9.2845173600000006</v>
      </c>
      <c r="O20" s="61">
        <f t="shared" si="3"/>
        <v>10.922961600000001</v>
      </c>
      <c r="P20" s="62">
        <f t="shared" si="3"/>
        <v>34.407329039999993</v>
      </c>
      <c r="Q20" s="89">
        <f t="shared" si="12"/>
        <v>45.330290639999994</v>
      </c>
      <c r="R20" s="29">
        <f t="shared" si="13"/>
        <v>3.149999999999999</v>
      </c>
      <c r="S20" s="12"/>
      <c r="T20" s="23"/>
      <c r="U20" s="25"/>
      <c r="V20" s="25"/>
      <c r="W20" s="25"/>
      <c r="X20" s="26"/>
      <c r="Y20" s="12"/>
      <c r="Z20" s="13"/>
      <c r="AA20" s="13"/>
      <c r="AB20" s="14"/>
      <c r="AC20" s="12"/>
      <c r="AD20" s="13"/>
      <c r="AE20" s="13"/>
      <c r="AF20" s="14"/>
      <c r="AG20" s="12"/>
      <c r="AH20" s="13"/>
      <c r="AI20" s="13"/>
      <c r="AJ20" s="14"/>
      <c r="AV20" s="208" t="s">
        <v>125</v>
      </c>
      <c r="AW20" s="131">
        <v>2000</v>
      </c>
      <c r="AX20" s="10"/>
      <c r="AY20" s="10"/>
      <c r="AZ20" s="150">
        <f>(SUMIF($A$3:$A$29,AW20,$Z$3:$Z$29)-$AZ$8)/$AZ$8</f>
        <v>0</v>
      </c>
      <c r="BA20" s="150">
        <f>(SUMIF($A$3:$A$29,AW20,$AD$3:$AD$29)-$BA8)/$BA8</f>
        <v>0</v>
      </c>
      <c r="BB20" s="150">
        <f>(SUMIF($A$3:$A$29,AW20,$AH$3:$AH$29)-$BB8)/$BB8</f>
        <v>0</v>
      </c>
      <c r="BC20" s="150">
        <f>(SUMIF($A$3:$A$29,AW20,$AH$3:$AH$29)/SUMIF($A$3:$A$29,AW20,$AD$3:$AD$29)-$BC8)/$BC8</f>
        <v>0</v>
      </c>
      <c r="BD20" s="158">
        <v>7.95740947</v>
      </c>
      <c r="BE20" s="158">
        <v>18.772590529999999</v>
      </c>
      <c r="BF20" s="150">
        <f t="shared" ref="BF20" si="34">(BD20/BE20-$BF$8)/$BF$8</f>
        <v>0</v>
      </c>
      <c r="BG20" s="150">
        <f t="shared" ref="BG20" si="35">((BD20+BE20)-$BG$8)/$BG$8</f>
        <v>0</v>
      </c>
      <c r="BH20" s="241">
        <v>8.0921192499999997</v>
      </c>
      <c r="BI20" s="154">
        <f>(BH20-$BH$8)/$BH$8</f>
        <v>1.4032261620117174E-2</v>
      </c>
      <c r="BJ20" s="197">
        <v>18.904940849999999</v>
      </c>
      <c r="BK20" s="194">
        <f>(BJ20-$BJ8)/$BJ8</f>
        <v>0</v>
      </c>
      <c r="BL20" s="241">
        <v>18.904940849999999</v>
      </c>
      <c r="BM20" s="154">
        <f t="shared" ref="BM20" si="36">(BL20-$BL$8)/$BL$8</f>
        <v>0</v>
      </c>
      <c r="BN20" s="23">
        <f>SUMIF($A$3:$A$29,AW20,$V$3:$V$29)</f>
        <v>881.61855719999994</v>
      </c>
      <c r="BO20" s="23">
        <f>SUMIF($A$3:$A$29,AW20,$Z$3:$Z$29)</f>
        <v>14</v>
      </c>
      <c r="BP20" s="13"/>
      <c r="BQ20" s="13"/>
      <c r="BR20" s="13"/>
    </row>
    <row r="21" spans="1:70" x14ac:dyDescent="0.25">
      <c r="A21" s="42">
        <v>2060</v>
      </c>
      <c r="B21" s="12">
        <f>SUMIF('EDU projections'!$B$37:$B$63,'1'!$A21,'EDU projections'!$D$37:$D$63)</f>
        <v>0.16</v>
      </c>
      <c r="C21" s="13">
        <f>SUMIF('EDU projections'!$B$64:$B$90,'1'!$A21,'EDU projections'!$D$64:$D$90)</f>
        <v>0.01</v>
      </c>
      <c r="D21" s="13">
        <f>SUMIF('EDU projections'!$B$91:$B$117,'1'!$A21,'EDU projections'!$D$91:$D$117)</f>
        <v>0.02</v>
      </c>
      <c r="E21" s="13">
        <f>SUMIF('EDU projections'!$B$118:$B$144,'1'!$A21,'EDU projections'!$D$118:$D$144)</f>
        <v>0.09</v>
      </c>
      <c r="F21" s="13">
        <f>SUMIF('EDU projections'!$B$145:$B$171,'1'!$A21,'EDU projections'!$D$145:$D$171)</f>
        <v>0.05</v>
      </c>
      <c r="G21" s="13">
        <f>SUMIF('EDU projections'!$B$172:$B$198,'1'!$A21,'EDU projections'!$D$172:$D$198)</f>
        <v>0.35</v>
      </c>
      <c r="H21" s="14">
        <f>SUMIF('EDU projections'!$B$199:$B$225,'1'!$A21,'EDU projections'!$D$199:$D$225)</f>
        <v>0.31</v>
      </c>
      <c r="I21" s="12">
        <f t="shared" si="8"/>
        <v>0.16</v>
      </c>
      <c r="J21" s="13">
        <f t="shared" si="9"/>
        <v>0.16999999999999998</v>
      </c>
      <c r="K21" s="13">
        <f t="shared" si="10"/>
        <v>0.65999999999999992</v>
      </c>
      <c r="L21" s="24">
        <f>SUMIF(UN!$A$10:'UN'!$A$95,A21,UN!$B$10:'UN'!$B$95)</f>
        <v>54073.103000000003</v>
      </c>
      <c r="M21" s="45">
        <f>(L21-L17)/L17</f>
        <v>-1.1870162768008131E-2</v>
      </c>
      <c r="N21" s="61">
        <f t="shared" si="11"/>
        <v>8.65169648</v>
      </c>
      <c r="O21" s="61">
        <f t="shared" si="3"/>
        <v>9.1924275099999999</v>
      </c>
      <c r="P21" s="62">
        <f t="shared" si="3"/>
        <v>35.68824798</v>
      </c>
      <c r="Q21" s="96">
        <f t="shared" si="12"/>
        <v>44.880675490000002</v>
      </c>
      <c r="R21" s="175">
        <f t="shared" si="13"/>
        <v>3.8823529411764706</v>
      </c>
      <c r="S21" s="12"/>
      <c r="T21" s="23"/>
      <c r="U21" s="63">
        <f>RCP!M2</f>
        <v>1059.881386</v>
      </c>
      <c r="V21" s="63">
        <f>RCP!M3</f>
        <v>1265.6261140000001</v>
      </c>
      <c r="W21" s="63">
        <f>RCP!M4</f>
        <v>1286.1588864</v>
      </c>
      <c r="X21" s="64">
        <f>RCP!M5</f>
        <v>1665.4800136000001</v>
      </c>
      <c r="Y21" s="12">
        <f>$Z$5+$AB$3*(U21-U$9)^$AB$4*(1-$AB$5*$Z$5)</f>
        <v>15.869585292201414</v>
      </c>
      <c r="Z21" s="13">
        <f>$Z$5+$AB$3*(V21-V$9)^$AB$4*(1-$AB$5*$Z$5)</f>
        <v>16.744004197079015</v>
      </c>
      <c r="AA21" s="13">
        <f>$Z$5+$AB$3*(W21-W$9)^$AB$4*(1-$AB$5*$Z$5)</f>
        <v>16.816409481176439</v>
      </c>
      <c r="AB21" s="14">
        <f>$Z$5+$AB$3*(X21-X$9)^$AB$4*(1-$AB$5*$Z$5)</f>
        <v>17.920437556422186</v>
      </c>
      <c r="AC21" s="142">
        <f t="shared" ref="AC21:AF21" si="37">MAX(0.001, $AD$3+$AD$4*Y21+$AD$5*Y21^2)</f>
        <v>0.80937298736891083</v>
      </c>
      <c r="AD21" s="143">
        <f t="shared" si="37"/>
        <v>0.87051305387219813</v>
      </c>
      <c r="AE21" s="143">
        <f t="shared" si="37"/>
        <v>0.87507523698055678</v>
      </c>
      <c r="AF21" s="144">
        <f t="shared" si="37"/>
        <v>0.93515756721855725</v>
      </c>
      <c r="AG21" s="142">
        <f t="shared" si="23"/>
        <v>0.99032622747926558</v>
      </c>
      <c r="AH21" s="143">
        <f t="shared" si="17"/>
        <v>0.99468847969718199</v>
      </c>
      <c r="AI21" s="143">
        <f t="shared" si="17"/>
        <v>0.99489201446533326</v>
      </c>
      <c r="AJ21" s="144">
        <f t="shared" si="17"/>
        <v>0.99500821542243334</v>
      </c>
      <c r="AV21" s="209"/>
      <c r="AW21" s="132">
        <v>2020</v>
      </c>
      <c r="AX21" s="13"/>
      <c r="AY21" s="13"/>
      <c r="AZ21" s="151">
        <f t="shared" ref="AZ21:AZ25" si="38">(SUMIF($A$3:$A$29,AW21,$Z$3:$Z$29)-$AZ$8)/$AZ$8</f>
        <v>0.10907816844514569</v>
      </c>
      <c r="BA21" s="151">
        <f t="shared" ref="BA21:BA25" si="39">(SUMIF($A$3:$A$29,AW21,$AD$3:$AD$29)-$BA9)/$BA9</f>
        <v>0.22018597957976671</v>
      </c>
      <c r="BB21" s="151">
        <f t="shared" ref="BB21:BB25" si="40">(SUMIF($A$3:$A$29,AW21,$AH$3:$AH$29)-$BB9)/$BB9</f>
        <v>1.904563813129212E-2</v>
      </c>
      <c r="BC21" s="151">
        <f t="shared" ref="BC21:BC25" si="41">(SUMIF($A$3:$A$29,AW21,$AH$3:$AH$29)/SUMIF($A$3:$A$29,AW21,$AD$3:$AD$29)-$BC9)/$BC9</f>
        <v>-0.16484400313938011</v>
      </c>
      <c r="BD21" s="156">
        <v>17.527379369999998</v>
      </c>
      <c r="BE21" s="156">
        <v>18.189682210000001</v>
      </c>
      <c r="BF21" s="151">
        <f t="shared" ref="BF21" si="42">(BD21/BE21-$BF$9)/$BF$9</f>
        <v>9.4271545058428607E-2</v>
      </c>
      <c r="BG21" s="151">
        <f t="shared" ref="BG21" si="43">((BD21+BE21)-$BG$9)/$BG$9</f>
        <v>-2.3946259293496055E-2</v>
      </c>
      <c r="BH21" s="242">
        <v>23.530476950000001</v>
      </c>
      <c r="BI21" s="155">
        <f>(BH21-$BH$9)/$BH$9</f>
        <v>8.6487297584772152E-2</v>
      </c>
      <c r="BJ21" s="198">
        <v>47.740796109999998</v>
      </c>
      <c r="BK21" s="44">
        <f t="shared" ref="BK21:BK25" si="44">(BJ21-$BJ9)/$BJ9</f>
        <v>2.7199719688196813E-2</v>
      </c>
      <c r="BL21" s="242">
        <v>49.84247697</v>
      </c>
      <c r="BM21" s="155">
        <f t="shared" ref="BM21" si="45">(BL21-$BL$9)/$BL$9</f>
        <v>7.2419870296742045E-2</v>
      </c>
      <c r="BN21" s="23">
        <f t="shared" ref="BN21:BN25" si="46">SUMIF($A$3:$A$29,AW21,$V$3:$V$29)</f>
        <v>1000.5514476000001</v>
      </c>
      <c r="BO21" s="23">
        <f t="shared" ref="BO21:BO25" si="47">SUMIF($A$3:$A$29,AW21,$Z$3:$Z$29)</f>
        <v>15.52709435823204</v>
      </c>
      <c r="BP21" s="13"/>
      <c r="BQ21" s="13"/>
      <c r="BR21" s="13"/>
    </row>
    <row r="22" spans="1:70" x14ac:dyDescent="0.25">
      <c r="A22" s="42">
        <v>2065</v>
      </c>
      <c r="B22" s="12">
        <f>SUMIF('EDU projections'!$B$37:$B$63,'1'!$A22,'EDU projections'!$D$37:$D$63)</f>
        <v>0.15</v>
      </c>
      <c r="C22" s="13">
        <f>SUMIF('EDU projections'!$B$64:$B$90,'1'!$A22,'EDU projections'!$D$64:$D$90)</f>
        <v>0.01</v>
      </c>
      <c r="D22" s="13">
        <f>SUMIF('EDU projections'!$B$91:$B$117,'1'!$A22,'EDU projections'!$D$91:$D$117)</f>
        <v>0.02</v>
      </c>
      <c r="E22" s="13">
        <f>SUMIF('EDU projections'!$B$118:$B$144,'1'!$A22,'EDU projections'!$D$118:$D$144)</f>
        <v>0.08</v>
      </c>
      <c r="F22" s="13">
        <f>SUMIF('EDU projections'!$B$145:$B$171,'1'!$A22,'EDU projections'!$D$145:$D$171)</f>
        <v>0.05</v>
      </c>
      <c r="G22" s="13">
        <f>SUMIF('EDU projections'!$B$172:$B$198,'1'!$A22,'EDU projections'!$D$172:$D$198)</f>
        <v>0.35</v>
      </c>
      <c r="H22" s="14">
        <f>SUMIF('EDU projections'!$B$199:$B$225,'1'!$A22,'EDU projections'!$D$199:$D$225)</f>
        <v>0.34</v>
      </c>
      <c r="I22" s="12">
        <f t="shared" si="8"/>
        <v>0.15</v>
      </c>
      <c r="J22" s="13">
        <f t="shared" si="9"/>
        <v>0.16</v>
      </c>
      <c r="K22" s="13">
        <f t="shared" si="10"/>
        <v>0.69</v>
      </c>
      <c r="L22" s="24">
        <f>SUMIF(UN!$A$10:'UN'!$A$95,A22,UN!$B$10:'UN'!$B$95)</f>
        <v>53346.678</v>
      </c>
      <c r="M22" s="44"/>
      <c r="N22" s="61">
        <f t="shared" si="11"/>
        <v>8.0020016999999992</v>
      </c>
      <c r="O22" s="61">
        <f t="shared" si="3"/>
        <v>8.5354684799999987</v>
      </c>
      <c r="P22" s="62">
        <f t="shared" si="3"/>
        <v>36.809207819999997</v>
      </c>
      <c r="Q22" s="89">
        <f t="shared" si="12"/>
        <v>45.344676299999996</v>
      </c>
      <c r="R22" s="29">
        <f t="shared" si="13"/>
        <v>4.3125</v>
      </c>
      <c r="S22" s="12"/>
      <c r="T22" s="23"/>
      <c r="U22" s="25"/>
      <c r="V22" s="25"/>
      <c r="W22" s="25"/>
      <c r="X22" s="26"/>
      <c r="Y22" s="12"/>
      <c r="Z22" s="13"/>
      <c r="AA22" s="13"/>
      <c r="AB22" s="14"/>
      <c r="AC22" s="12"/>
      <c r="AD22" s="13"/>
      <c r="AE22" s="13"/>
      <c r="AF22" s="14"/>
      <c r="AG22" s="12"/>
      <c r="AH22" s="13"/>
      <c r="AI22" s="13"/>
      <c r="AJ22" s="14"/>
      <c r="AV22" s="209"/>
      <c r="AW22" s="132">
        <v>2040</v>
      </c>
      <c r="AX22" s="13"/>
      <c r="AY22" s="13"/>
      <c r="AZ22" s="151">
        <f t="shared" si="38"/>
        <v>0.16044403980114627</v>
      </c>
      <c r="BA22" s="151">
        <f t="shared" si="39"/>
        <v>0.30548341691769837</v>
      </c>
      <c r="BB22" s="151">
        <f t="shared" si="40"/>
        <v>2.4181132895350604E-2</v>
      </c>
      <c r="BC22" s="151">
        <f t="shared" si="41"/>
        <v>-0.21547748548695816</v>
      </c>
      <c r="BD22" s="156">
        <v>26.90922729</v>
      </c>
      <c r="BE22" s="156">
        <v>13.02992594</v>
      </c>
      <c r="BF22" s="151">
        <f t="shared" ref="BF22" si="48">(BD22/BE22-$BF$10)/$BF$10</f>
        <v>0.12894618726806401</v>
      </c>
      <c r="BG22" s="151">
        <f t="shared" ref="BG22" si="49">((BD22+BE22)-$BG$10)/$BG$10</f>
        <v>-4.7611436854074853E-2</v>
      </c>
      <c r="BH22" s="242">
        <v>52.48650043</v>
      </c>
      <c r="BI22" s="155">
        <f>(BH22-$BH$10)/$BH$10</f>
        <v>7.9686724595509725E-2</v>
      </c>
      <c r="BJ22" s="198">
        <v>100.68086580000001</v>
      </c>
      <c r="BK22" s="44">
        <f t="shared" si="44"/>
        <v>2.9441459998697191E-2</v>
      </c>
      <c r="BL22" s="242">
        <v>104.66343646999999</v>
      </c>
      <c r="BM22" s="155">
        <f t="shared" ref="BM22" si="50">(BL22-$BL$10)/$BL$10</f>
        <v>7.0162438433834726E-2</v>
      </c>
      <c r="BN22" s="23">
        <f t="shared" si="46"/>
        <v>1138.9385179999999</v>
      </c>
      <c r="BO22" s="23">
        <f t="shared" si="47"/>
        <v>16.246216557216048</v>
      </c>
      <c r="BP22" s="13"/>
      <c r="BQ22" s="13"/>
      <c r="BR22" s="13"/>
    </row>
    <row r="23" spans="1:70" x14ac:dyDescent="0.25">
      <c r="A23" s="42">
        <v>2070</v>
      </c>
      <c r="B23" s="12">
        <f>SUMIF('EDU projections'!$B$37:$B$63,'1'!$A23,'EDU projections'!$D$37:$D$63)</f>
        <v>0.15</v>
      </c>
      <c r="C23" s="13">
        <f>SUMIF('EDU projections'!$B$64:$B$90,'1'!$A23,'EDU projections'!$D$64:$D$90)</f>
        <v>0.01</v>
      </c>
      <c r="D23" s="13">
        <f>SUMIF('EDU projections'!$B$91:$B$117,'1'!$A23,'EDU projections'!$D$91:$D$117)</f>
        <v>0.01</v>
      </c>
      <c r="E23" s="13">
        <f>SUMIF('EDU projections'!$B$118:$B$144,'1'!$A23,'EDU projections'!$D$118:$D$144)</f>
        <v>7.0000000000000007E-2</v>
      </c>
      <c r="F23" s="13">
        <f>SUMIF('EDU projections'!$B$145:$B$171,'1'!$A23,'EDU projections'!$D$145:$D$171)</f>
        <v>0.04</v>
      </c>
      <c r="G23" s="13">
        <f>SUMIF('EDU projections'!$B$172:$B$198,'1'!$A23,'EDU projections'!$D$172:$D$198)</f>
        <v>0.36</v>
      </c>
      <c r="H23" s="14">
        <f>SUMIF('EDU projections'!$B$199:$B$225,'1'!$A23,'EDU projections'!$D$199:$D$225)</f>
        <v>0.36</v>
      </c>
      <c r="I23" s="12">
        <f t="shared" si="8"/>
        <v>0.15</v>
      </c>
      <c r="J23" s="13">
        <f t="shared" si="9"/>
        <v>0.13</v>
      </c>
      <c r="K23" s="13">
        <f t="shared" si="10"/>
        <v>0.72</v>
      </c>
      <c r="L23" s="24">
        <f>SUMIF(UN!$A$10:'UN'!$A$95,A23,UN!$B$10:'UN'!$B$95)</f>
        <v>52451.05</v>
      </c>
      <c r="M23" s="44"/>
      <c r="N23" s="61">
        <f t="shared" si="11"/>
        <v>7.8676575</v>
      </c>
      <c r="O23" s="61">
        <f t="shared" si="3"/>
        <v>6.8186365000000002</v>
      </c>
      <c r="P23" s="62">
        <f t="shared" si="3"/>
        <v>37.764755999999998</v>
      </c>
      <c r="Q23" s="89">
        <f t="shared" si="12"/>
        <v>44.583392500000002</v>
      </c>
      <c r="R23" s="29">
        <f t="shared" si="13"/>
        <v>5.5384615384615383</v>
      </c>
      <c r="S23" s="12"/>
      <c r="T23" s="23"/>
      <c r="U23" s="25">
        <f>RCP!N2</f>
        <v>1047.7545196000001</v>
      </c>
      <c r="V23" s="25">
        <f>RCP!N3</f>
        <v>1303.3116792000001</v>
      </c>
      <c r="W23" s="25">
        <f>RCP!N4</f>
        <v>1396.7136004000001</v>
      </c>
      <c r="X23" s="26">
        <f>RCP!N5</f>
        <v>1913.3613316000001</v>
      </c>
      <c r="Y23" s="12">
        <f>$Z$5+$AB$3*(U23-U$9)^$AB$4*(1-$AB$5*$Z$5)</f>
        <v>15.804873264037067</v>
      </c>
      <c r="Z23" s="13">
        <f>$Z$5+$AB$3*(V23-V$9)^$AB$4*(1-$AB$5*$Z$5)</f>
        <v>16.87549849519764</v>
      </c>
      <c r="AA23" s="13">
        <f>$Z$5+$AB$3*(W23-W$9)^$AB$4*(1-$AB$5*$Z$5)</f>
        <v>17.178034234506168</v>
      </c>
      <c r="AB23" s="14">
        <f>$Z$5+$AB$3*(X23-X$9)^$AB$4*(1-$AB$5*$Z$5)</f>
        <v>18.49780480351</v>
      </c>
      <c r="AC23" s="12">
        <f t="shared" ref="AC23:AF23" si="51">MAX(0.001, $AD$3+$AD$4*Y23+$AD$5*Y23^2)</f>
        <v>0.80440462740981844</v>
      </c>
      <c r="AD23" s="13">
        <f t="shared" si="51"/>
        <v>0.8787416554525227</v>
      </c>
      <c r="AE23" s="13">
        <f t="shared" si="51"/>
        <v>0.89671506504627807</v>
      </c>
      <c r="AF23" s="14">
        <f t="shared" si="51"/>
        <v>0.95949176687514903</v>
      </c>
      <c r="AG23" s="12">
        <f t="shared" si="23"/>
        <v>0.98986361767073594</v>
      </c>
      <c r="AH23" s="13">
        <f t="shared" si="17"/>
        <v>0.99504024585455042</v>
      </c>
      <c r="AI23" s="13">
        <f t="shared" si="17"/>
        <v>0.99554756038820191</v>
      </c>
      <c r="AJ23" s="14">
        <f t="shared" si="17"/>
        <v>0.99283618441865762</v>
      </c>
      <c r="AV23" s="209"/>
      <c r="AW23" s="132">
        <v>2060</v>
      </c>
      <c r="AX23" s="13"/>
      <c r="AY23" s="13"/>
      <c r="AZ23" s="151">
        <f t="shared" si="38"/>
        <v>0.19600029979135819</v>
      </c>
      <c r="BA23" s="151">
        <f t="shared" si="39"/>
        <v>0.35763108838458851</v>
      </c>
      <c r="BB23" s="151">
        <f t="shared" si="40"/>
        <v>2.6298472654954413E-2</v>
      </c>
      <c r="BC23" s="151">
        <f t="shared" si="41"/>
        <v>-0.24405202456278344</v>
      </c>
      <c r="BD23" s="156">
        <v>32.311073870000001</v>
      </c>
      <c r="BE23" s="156">
        <v>7.3925189800000002</v>
      </c>
      <c r="BF23" s="151">
        <f t="shared" ref="BF23" si="52">(BD23/BE23-$BF$11)/$BF$11</f>
        <v>0.1501477528842885</v>
      </c>
      <c r="BG23" s="151">
        <f t="shared" ref="BG23" si="53">((BD23+BE23)-$BG$11)/$BG$11</f>
        <v>-6.4315744051173976E-2</v>
      </c>
      <c r="BH23" s="242">
        <v>98.652507259999993</v>
      </c>
      <c r="BI23" s="155">
        <f>(BH23-$BH$11)/$BH$11</f>
        <v>6.183504748485559E-2</v>
      </c>
      <c r="BJ23" s="198">
        <v>185.42845496999999</v>
      </c>
      <c r="BK23" s="44">
        <f t="shared" si="44"/>
        <v>2.9206821151345139E-2</v>
      </c>
      <c r="BL23" s="242">
        <v>190.36147252999999</v>
      </c>
      <c r="BM23" s="155">
        <f t="shared" ref="BM23" si="54">(BL23-$BL$11)/$BL$11</f>
        <v>5.6587167508827176E-2</v>
      </c>
      <c r="BN23" s="23">
        <f t="shared" si="46"/>
        <v>1265.6261140000001</v>
      </c>
      <c r="BO23" s="23">
        <f t="shared" si="47"/>
        <v>16.744004197079015</v>
      </c>
      <c r="BP23" s="13"/>
      <c r="BQ23" s="13"/>
      <c r="BR23" s="13"/>
    </row>
    <row r="24" spans="1:70" x14ac:dyDescent="0.25">
      <c r="A24" s="42">
        <v>2075</v>
      </c>
      <c r="B24" s="12">
        <f>SUMIF('EDU projections'!$B$37:$B$63,'1'!$A24,'EDU projections'!$D$37:$D$63)</f>
        <v>0.14000000000000001</v>
      </c>
      <c r="C24" s="13">
        <f>SUMIF('EDU projections'!$B$64:$B$90,'1'!$A24,'EDU projections'!$D$64:$D$90)</f>
        <v>0</v>
      </c>
      <c r="D24" s="13">
        <f>SUMIF('EDU projections'!$B$91:$B$117,'1'!$A24,'EDU projections'!$D$91:$D$117)</f>
        <v>0.01</v>
      </c>
      <c r="E24" s="13">
        <f>SUMIF('EDU projections'!$B$118:$B$144,'1'!$A24,'EDU projections'!$D$118:$D$144)</f>
        <v>0.06</v>
      </c>
      <c r="F24" s="13">
        <f>SUMIF('EDU projections'!$B$145:$B$171,'1'!$A24,'EDU projections'!$D$145:$D$171)</f>
        <v>0.04</v>
      </c>
      <c r="G24" s="13">
        <f>SUMIF('EDU projections'!$B$172:$B$198,'1'!$A24,'EDU projections'!$D$172:$D$198)</f>
        <v>0.36</v>
      </c>
      <c r="H24" s="14">
        <f>SUMIF('EDU projections'!$B$199:$B$225,'1'!$A24,'EDU projections'!$D$199:$D$225)</f>
        <v>0.38</v>
      </c>
      <c r="I24" s="12">
        <f t="shared" si="8"/>
        <v>0.14000000000000001</v>
      </c>
      <c r="J24" s="13">
        <f t="shared" si="9"/>
        <v>0.10999999999999999</v>
      </c>
      <c r="K24" s="13">
        <f t="shared" si="10"/>
        <v>0.74</v>
      </c>
      <c r="L24" s="24">
        <f>SUMIF(UN!$A$10:'UN'!$A$95,A24,UN!$B$10:'UN'!$B$95)</f>
        <v>51408.873</v>
      </c>
      <c r="M24" s="44"/>
      <c r="N24" s="61">
        <f t="shared" si="11"/>
        <v>7.1972422200000006</v>
      </c>
      <c r="O24" s="61">
        <f t="shared" si="3"/>
        <v>5.6549760299999985</v>
      </c>
      <c r="P24" s="62">
        <f t="shared" si="3"/>
        <v>38.042566019999995</v>
      </c>
      <c r="Q24" s="89">
        <f t="shared" si="12"/>
        <v>43.697542049999996</v>
      </c>
      <c r="R24" s="29">
        <f t="shared" si="13"/>
        <v>6.7272727272727284</v>
      </c>
      <c r="S24" s="12"/>
      <c r="T24" s="23"/>
      <c r="U24" s="25"/>
      <c r="V24" s="25"/>
      <c r="W24" s="25"/>
      <c r="X24" s="26"/>
      <c r="Y24" s="12"/>
      <c r="Z24" s="13"/>
      <c r="AA24" s="13"/>
      <c r="AB24" s="14"/>
      <c r="AC24" s="12"/>
      <c r="AD24" s="13"/>
      <c r="AE24" s="13"/>
      <c r="AF24" s="14"/>
      <c r="AG24" s="12"/>
      <c r="AH24" s="13"/>
      <c r="AI24" s="13"/>
      <c r="AJ24" s="14"/>
      <c r="AV24" s="209"/>
      <c r="AW24" s="132">
        <v>2080</v>
      </c>
      <c r="AX24" s="13"/>
      <c r="AY24" s="13"/>
      <c r="AZ24" s="151">
        <f t="shared" si="38"/>
        <v>0.20882842472390323</v>
      </c>
      <c r="BA24" s="151">
        <f t="shared" si="39"/>
        <v>0.37506011397357658</v>
      </c>
      <c r="BB24" s="151">
        <f t="shared" si="40"/>
        <v>2.6773679914591696E-2</v>
      </c>
      <c r="BC24" s="151">
        <f t="shared" si="41"/>
        <v>-0.25328815120127729</v>
      </c>
      <c r="BD24" s="156">
        <v>33.267683560000002</v>
      </c>
      <c r="BE24" s="156">
        <v>3.6414180799999998</v>
      </c>
      <c r="BF24" s="151">
        <f t="shared" ref="BF24" si="55">(BD24/BE24-$BF$12)/$BF$12</f>
        <v>0.15725066530520307</v>
      </c>
      <c r="BG24" s="151">
        <f t="shared" ref="BG24" si="56">((BD24+BE24)-$BG$12)/$BG$12</f>
        <v>-7.3863924690413973E-2</v>
      </c>
      <c r="BH24" s="242">
        <v>166.08083973000001</v>
      </c>
      <c r="BI24" s="155">
        <f>(BH24-$BH$12)/$BH$12</f>
        <v>4.6163269899230475E-2</v>
      </c>
      <c r="BJ24" s="198">
        <v>310.48567804999999</v>
      </c>
      <c r="BK24" s="44">
        <f t="shared" si="44"/>
        <v>2.8234791136958561E-2</v>
      </c>
      <c r="BL24" s="242">
        <v>315.09485344000001</v>
      </c>
      <c r="BM24" s="155">
        <f t="shared" ref="BM24" si="57">(BL24-$BL$12)/$BL$12</f>
        <v>4.3498987940545325E-2</v>
      </c>
      <c r="BN24" s="23">
        <f t="shared" si="46"/>
        <v>1317.5372820000002</v>
      </c>
      <c r="BO24" s="23">
        <f t="shared" si="47"/>
        <v>16.923597946134645</v>
      </c>
      <c r="BP24" s="13"/>
      <c r="BQ24" s="13"/>
      <c r="BR24" s="13"/>
    </row>
    <row r="25" spans="1:70" ht="15.75" thickBot="1" x14ac:dyDescent="0.3">
      <c r="A25" s="42">
        <v>2080</v>
      </c>
      <c r="B25" s="12">
        <f>SUMIF('EDU projections'!$B$37:$B$63,'1'!$A25,'EDU projections'!$D$37:$D$63)</f>
        <v>0.13</v>
      </c>
      <c r="C25" s="13">
        <f>SUMIF('EDU projections'!$B$64:$B$90,'1'!$A25,'EDU projections'!$D$64:$D$90)</f>
        <v>0</v>
      </c>
      <c r="D25" s="13">
        <f>SUMIF('EDU projections'!$B$91:$B$117,'1'!$A25,'EDU projections'!$D$91:$D$117)</f>
        <v>0.01</v>
      </c>
      <c r="E25" s="13">
        <f>SUMIF('EDU projections'!$B$118:$B$144,'1'!$A25,'EDU projections'!$D$118:$D$144)</f>
        <v>0.06</v>
      </c>
      <c r="F25" s="13">
        <f>SUMIF('EDU projections'!$B$145:$B$171,'1'!$A25,'EDU projections'!$D$145:$D$171)</f>
        <v>0.04</v>
      </c>
      <c r="G25" s="13">
        <f>SUMIF('EDU projections'!$B$172:$B$198,'1'!$A25,'EDU projections'!$D$172:$D$198)</f>
        <v>0.36</v>
      </c>
      <c r="H25" s="14">
        <f>SUMIF('EDU projections'!$B$199:$B$225,'1'!$A25,'EDU projections'!$D$199:$D$225)</f>
        <v>0.4</v>
      </c>
      <c r="I25" s="12">
        <f t="shared" si="8"/>
        <v>0.13</v>
      </c>
      <c r="J25" s="13">
        <f t="shared" si="9"/>
        <v>0.10999999999999999</v>
      </c>
      <c r="K25" s="13">
        <f t="shared" si="10"/>
        <v>0.76</v>
      </c>
      <c r="L25" s="24">
        <f>SUMIF(UN!$A$10:'UN'!$A$95,A25,UN!$B$10:'UN'!$B$95)</f>
        <v>50244.654999999999</v>
      </c>
      <c r="M25" s="45">
        <f>(L25-L21)/L21</f>
        <v>-7.0801337219356608E-2</v>
      </c>
      <c r="N25" s="61">
        <f t="shared" si="11"/>
        <v>6.5318051500000003</v>
      </c>
      <c r="O25" s="61">
        <f t="shared" si="3"/>
        <v>5.5269120499999991</v>
      </c>
      <c r="P25" s="62">
        <f t="shared" si="3"/>
        <v>38.185937799999998</v>
      </c>
      <c r="Q25" s="96">
        <f t="shared" si="12"/>
        <v>43.712849849999998</v>
      </c>
      <c r="R25" s="175">
        <f t="shared" si="13"/>
        <v>6.9090909090909101</v>
      </c>
      <c r="S25" s="12"/>
      <c r="T25" s="23"/>
      <c r="U25" s="63">
        <f>RCP!O2</f>
        <v>1033.9607608000001</v>
      </c>
      <c r="V25" s="63">
        <f>RCP!O3</f>
        <v>1317.5372820000002</v>
      </c>
      <c r="W25" s="63">
        <f>RCP!O4</f>
        <v>1517.8381256</v>
      </c>
      <c r="X25" s="64">
        <f>RCP!O5</f>
        <v>2183.46326</v>
      </c>
      <c r="Y25" s="12">
        <f>$Z$5+$AB$3*(U25-U$9)^$AB$4*(1-$AB$5*$Z$5)</f>
        <v>15.728323370458352</v>
      </c>
      <c r="Z25" s="13">
        <f>$Z$5+$AB$3*(V25-V$9)^$AB$4*(1-$AB$5*$Z$5)</f>
        <v>16.923597946134645</v>
      </c>
      <c r="AA25" s="13">
        <f>$Z$5+$AB$3*(W25-W$9)^$AB$4*(1-$AB$5*$Z$5)</f>
        <v>17.531981313774523</v>
      </c>
      <c r="AB25" s="14">
        <f>$Z$5+$AB$3*(X25-X$9)^$AB$4*(1-$AB$5*$Z$5)</f>
        <v>19.052362185947896</v>
      </c>
      <c r="AC25" s="142">
        <f t="shared" ref="AC25:AF25" si="58">MAX(0.001, $AD$3+$AD$4*Y25+$AD$5*Y25^2)</f>
        <v>0.7984484589675156</v>
      </c>
      <c r="AD25" s="143">
        <f t="shared" si="58"/>
        <v>0.88168854507985728</v>
      </c>
      <c r="AE25" s="143">
        <f t="shared" si="58"/>
        <v>0.91604655250081812</v>
      </c>
      <c r="AF25" s="144">
        <f t="shared" si="58"/>
        <v>0.9782822677608296</v>
      </c>
      <c r="AG25" s="142">
        <f t="shared" si="23"/>
        <v>0.98929151073154364</v>
      </c>
      <c r="AH25" s="143">
        <f t="shared" si="17"/>
        <v>0.99514905057322245</v>
      </c>
      <c r="AI25" s="143">
        <f t="shared" si="17"/>
        <v>0.99560665689292205</v>
      </c>
      <c r="AJ25" s="144">
        <f t="shared" si="17"/>
        <v>0.98930621368739602</v>
      </c>
      <c r="AV25" s="210"/>
      <c r="AW25" s="133">
        <v>2100</v>
      </c>
      <c r="AX25" s="16"/>
      <c r="AY25" s="16"/>
      <c r="AZ25" s="152">
        <f t="shared" si="38"/>
        <v>0.21290766296934902</v>
      </c>
      <c r="BA25" s="152">
        <f t="shared" si="39"/>
        <v>0.38044850017522291</v>
      </c>
      <c r="BB25" s="152">
        <f t="shared" si="40"/>
        <v>2.6892712573424835E-2</v>
      </c>
      <c r="BC25" s="152">
        <f t="shared" si="41"/>
        <v>-0.25611660815808812</v>
      </c>
      <c r="BD25" s="157">
        <v>31.46163391</v>
      </c>
      <c r="BE25" s="157">
        <v>1.6546086799999999</v>
      </c>
      <c r="BF25" s="152">
        <f t="shared" ref="BF25" si="59">(BD25/BE25-$BF$13)/$BF$13</f>
        <v>0.15942357789090059</v>
      </c>
      <c r="BG25" s="152">
        <f t="shared" ref="BG25" si="60">((BD25+BE25)-$BG$13)/$BG$13</f>
        <v>-7.8837157435884E-2</v>
      </c>
      <c r="BH25" s="243">
        <v>0</v>
      </c>
      <c r="BI25" s="17"/>
      <c r="BJ25" s="199">
        <v>491.06056555999999</v>
      </c>
      <c r="BK25" s="200">
        <f t="shared" si="44"/>
        <v>2.7604415943222476E-2</v>
      </c>
      <c r="BL25" s="243">
        <v>494.81307701999998</v>
      </c>
      <c r="BM25" s="17">
        <f t="shared" ref="BM25" si="61">(BL25-$BL$13)/$BL$13</f>
        <v>3.5457006066756613E-2</v>
      </c>
      <c r="BN25" s="23">
        <f t="shared" si="46"/>
        <v>1334.7340224</v>
      </c>
      <c r="BO25" s="23">
        <f t="shared" si="47"/>
        <v>16.980707281570886</v>
      </c>
      <c r="BP25" s="13"/>
      <c r="BQ25" s="13"/>
      <c r="BR25" s="13"/>
    </row>
    <row r="26" spans="1:70" x14ac:dyDescent="0.25">
      <c r="A26" s="42">
        <v>2085</v>
      </c>
      <c r="B26" s="12">
        <f>SUMIF('EDU projections'!$B$37:$B$63,'1'!$A26,'EDU projections'!$D$37:$D$63)</f>
        <v>0.13</v>
      </c>
      <c r="C26" s="13">
        <f>SUMIF('EDU projections'!$B$64:$B$90,'1'!$A26,'EDU projections'!$D$64:$D$90)</f>
        <v>0</v>
      </c>
      <c r="D26" s="13">
        <f>SUMIF('EDU projections'!$B$91:$B$117,'1'!$A26,'EDU projections'!$D$91:$D$117)</f>
        <v>0.01</v>
      </c>
      <c r="E26" s="13">
        <f>SUMIF('EDU projections'!$B$118:$B$144,'1'!$A26,'EDU projections'!$D$118:$D$144)</f>
        <v>0.05</v>
      </c>
      <c r="F26" s="13">
        <f>SUMIF('EDU projections'!$B$145:$B$171,'1'!$A26,'EDU projections'!$D$145:$D$171)</f>
        <v>0.03</v>
      </c>
      <c r="G26" s="13">
        <f>SUMIF('EDU projections'!$B$172:$B$198,'1'!$A26,'EDU projections'!$D$172:$D$198)</f>
        <v>0.36</v>
      </c>
      <c r="H26" s="14">
        <f>SUMIF('EDU projections'!$B$199:$B$225,'1'!$A26,'EDU projections'!$D$199:$D$225)</f>
        <v>0.42</v>
      </c>
      <c r="I26" s="12">
        <f t="shared" si="8"/>
        <v>0.13</v>
      </c>
      <c r="J26" s="13">
        <f t="shared" si="9"/>
        <v>0.09</v>
      </c>
      <c r="K26" s="13">
        <f t="shared" si="10"/>
        <v>0.78</v>
      </c>
      <c r="L26" s="24">
        <f>SUMIF(UN!$A$10:'UN'!$A$95,A26,UN!$B$10:'UN'!$B$95)</f>
        <v>49014.957000000002</v>
      </c>
      <c r="M26" s="44"/>
      <c r="N26" s="61">
        <f t="shared" si="11"/>
        <v>6.3719444100000002</v>
      </c>
      <c r="O26" s="61">
        <f t="shared" si="3"/>
        <v>4.4113461300000001</v>
      </c>
      <c r="P26" s="62">
        <f t="shared" si="3"/>
        <v>38.23166646</v>
      </c>
      <c r="Q26" s="89">
        <f t="shared" si="12"/>
        <v>42.643012589999998</v>
      </c>
      <c r="R26" s="29">
        <f t="shared" si="13"/>
        <v>8.6666666666666661</v>
      </c>
      <c r="S26" s="12"/>
      <c r="T26" s="23"/>
      <c r="U26" s="25"/>
      <c r="V26" s="25"/>
      <c r="W26" s="25"/>
      <c r="X26" s="26"/>
      <c r="Y26" s="12"/>
      <c r="Z26" s="13"/>
      <c r="AA26" s="13"/>
      <c r="AB26" s="14"/>
      <c r="AC26" s="12"/>
      <c r="AD26" s="13"/>
      <c r="AE26" s="13"/>
      <c r="AF26" s="14"/>
      <c r="AG26" s="12"/>
      <c r="AH26" s="13"/>
      <c r="AI26" s="13"/>
      <c r="AJ26" s="14"/>
      <c r="AV26" s="208" t="s">
        <v>126</v>
      </c>
      <c r="AW26" s="131">
        <v>2000</v>
      </c>
      <c r="AX26" s="10"/>
      <c r="AY26" s="10"/>
      <c r="AZ26" s="150">
        <f>(SUMIF($A$3:$A$29,AW26,$AA$3:$AA$29)-$AZ$8)/$AZ$8</f>
        <v>0</v>
      </c>
      <c r="BA26" s="150">
        <f>(SUMIF($A$3:$A$29,AW26,$AE$3:$AE$29)-$BA8)/$BA8</f>
        <v>0</v>
      </c>
      <c r="BB26" s="150">
        <f>(SUMIF($A$3:$A$29,AW26,$AI$3:$AI$29)-$BB8)/$BB8</f>
        <v>0</v>
      </c>
      <c r="BC26" s="150">
        <f>(SUMIF($A$3:$A$29,AW26,$AI$3:$AI$29)/SUMIF($A$3:$A$29,AW26,$AE$3:$AE$29)-$BC8)/$BC8</f>
        <v>0</v>
      </c>
      <c r="BD26" s="158">
        <v>7.95740947</v>
      </c>
      <c r="BE26" s="158">
        <v>18.772590529999999</v>
      </c>
      <c r="BF26" s="150">
        <f t="shared" ref="BF26" si="62">(BD26/BE26-$BF$8)/$BF$8</f>
        <v>0</v>
      </c>
      <c r="BG26" s="150">
        <f t="shared" ref="BG26" si="63">((BD26+BE26)-$BG$8)/$BG$8</f>
        <v>0</v>
      </c>
      <c r="BH26" s="241">
        <v>8.0898188399999995</v>
      </c>
      <c r="BI26" s="154">
        <f>(BH26-$BH$8)/$BH$8</f>
        <v>1.3743994741826462E-2</v>
      </c>
      <c r="BJ26" s="197">
        <v>18.904940849999999</v>
      </c>
      <c r="BK26" s="194">
        <f>(BJ26-$BJ8)/$BJ8</f>
        <v>0</v>
      </c>
      <c r="BL26" s="241">
        <v>18.904940849999999</v>
      </c>
      <c r="BM26" s="154">
        <f t="shared" ref="BM26" si="64">(BL26-$BL$8)/$BL$8</f>
        <v>0</v>
      </c>
      <c r="BN26" s="27">
        <f>SUMIF($A$3:$A$29,AW26,$W$3:$W$29)</f>
        <v>881.61855719999994</v>
      </c>
      <c r="BO26" s="27">
        <f>SUMIF($A$3:$A$29,AW26,$AA$3:$AA$29)</f>
        <v>14</v>
      </c>
      <c r="BP26" s="13"/>
      <c r="BQ26" s="13"/>
      <c r="BR26" s="13"/>
    </row>
    <row r="27" spans="1:70" x14ac:dyDescent="0.25">
      <c r="A27" s="42">
        <v>2090</v>
      </c>
      <c r="B27" s="12">
        <f>SUMIF('EDU projections'!$B$37:$B$63,'1'!$A27,'EDU projections'!$D$37:$D$63)</f>
        <v>0.12</v>
      </c>
      <c r="C27" s="13">
        <f>SUMIF('EDU projections'!$B$64:$B$90,'1'!$A27,'EDU projections'!$D$64:$D$90)</f>
        <v>0</v>
      </c>
      <c r="D27" s="13">
        <f>SUMIF('EDU projections'!$B$91:$B$117,'1'!$A27,'EDU projections'!$D$91:$D$117)</f>
        <v>0.01</v>
      </c>
      <c r="E27" s="13">
        <f>SUMIF('EDU projections'!$B$118:$B$144,'1'!$A27,'EDU projections'!$D$118:$D$144)</f>
        <v>0.04</v>
      </c>
      <c r="F27" s="13">
        <f>SUMIF('EDU projections'!$B$145:$B$171,'1'!$A27,'EDU projections'!$D$145:$D$171)</f>
        <v>0.03</v>
      </c>
      <c r="G27" s="13">
        <f>SUMIF('EDU projections'!$B$172:$B$198,'1'!$A27,'EDU projections'!$D$172:$D$198)</f>
        <v>0.35</v>
      </c>
      <c r="H27" s="14">
        <f>SUMIF('EDU projections'!$B$199:$B$225,'1'!$A27,'EDU projections'!$D$199:$D$225)</f>
        <v>0.44</v>
      </c>
      <c r="I27" s="12">
        <f t="shared" si="8"/>
        <v>0.12</v>
      </c>
      <c r="J27" s="13">
        <f t="shared" si="9"/>
        <v>0.08</v>
      </c>
      <c r="K27" s="13">
        <f t="shared" si="10"/>
        <v>0.79</v>
      </c>
      <c r="L27" s="24">
        <f>SUMIF(UN!$A$10:'UN'!$A$95,A27,UN!$B$10:'UN'!$B$95)</f>
        <v>47765.46</v>
      </c>
      <c r="M27" s="44"/>
      <c r="N27" s="61">
        <f t="shared" si="11"/>
        <v>5.7318552</v>
      </c>
      <c r="O27" s="61">
        <f t="shared" si="3"/>
        <v>3.8212368000000003</v>
      </c>
      <c r="P27" s="62">
        <f t="shared" si="3"/>
        <v>37.734713400000004</v>
      </c>
      <c r="Q27" s="89">
        <f t="shared" si="12"/>
        <v>41.555950200000005</v>
      </c>
      <c r="R27" s="29">
        <f t="shared" si="13"/>
        <v>9.875</v>
      </c>
      <c r="S27" s="12"/>
      <c r="T27" s="23"/>
      <c r="U27" s="25">
        <f>RCP!P2</f>
        <v>1020.555386</v>
      </c>
      <c r="V27" s="25">
        <f>RCP!P3</f>
        <v>1322.5722184000001</v>
      </c>
      <c r="W27" s="25">
        <f>RCP!P4</f>
        <v>1620.290878</v>
      </c>
      <c r="X27" s="26">
        <f>RCP!Q4</f>
        <v>1695.7205416000002</v>
      </c>
      <c r="Y27" s="12">
        <f>$Z$5+$AB$3*(U27-U$9)^$AB$4*(1-$AB$5*$Z$5)</f>
        <v>15.650530586855108</v>
      </c>
      <c r="Z27" s="13">
        <f>$Z$5+$AB$3*(V27-V$9)^$AB$4*(1-$AB$5*$Z$5)</f>
        <v>16.94043350238217</v>
      </c>
      <c r="AA27" s="13">
        <f>$Z$5+$AB$3*(W27-W$9)^$AB$4*(1-$AB$5*$Z$5)</f>
        <v>17.80575475534015</v>
      </c>
      <c r="AB27" s="14">
        <f>$Z$5+$AB$3*(X27-X$9)^$AB$4*(1-$AB$5*$Z$5)</f>
        <v>17.995345052940191</v>
      </c>
      <c r="AC27" s="12">
        <f t="shared" ref="AC27:AF27" si="65">MAX(0.001, $AD$3+$AD$4*Y27+$AD$5*Y27^2)</f>
        <v>0.79230793490573626</v>
      </c>
      <c r="AD27" s="13">
        <f t="shared" si="65"/>
        <v>0.88271202181869324</v>
      </c>
      <c r="AE27" s="13">
        <f t="shared" si="65"/>
        <v>0.92974467707134201</v>
      </c>
      <c r="AF27" s="14">
        <f t="shared" si="65"/>
        <v>0.93858943821261231</v>
      </c>
      <c r="AG27" s="12">
        <f t="shared" si="23"/>
        <v>0.98868249935320784</v>
      </c>
      <c r="AH27" s="13">
        <f t="shared" si="17"/>
        <v>0.99518461951871962</v>
      </c>
      <c r="AI27" s="13">
        <f t="shared" si="17"/>
        <v>0.99525710489037977</v>
      </c>
      <c r="AJ27" s="14">
        <f t="shared" si="17"/>
        <v>0.99481298401414375</v>
      </c>
      <c r="AV27" s="209"/>
      <c r="AW27" s="132">
        <v>2020</v>
      </c>
      <c r="AX27" s="13"/>
      <c r="AY27" s="13"/>
      <c r="AZ27" s="151">
        <f t="shared" ref="AZ27:AZ31" si="66">(SUMIF($A$3:$A$29,AW27,$AA$3:$AA$29)-$AZ$8)/$AZ$8</f>
        <v>0.10648674119368882</v>
      </c>
      <c r="BA27" s="151">
        <f t="shared" ref="BA27:BA31" si="67">(SUMIF($A$3:$A$29,AW27,$AE$3:$AE$29)-$BA9)/$BA9</f>
        <v>0.21557067784608844</v>
      </c>
      <c r="BB27" s="151">
        <f t="shared" ref="BB27:BB31" si="68">(SUMIF($A$3:$A$29,AW27,$AI$3:$AI$29)-$BB9)/$BB9</f>
        <v>1.8721513633242239E-2</v>
      </c>
      <c r="BC27" s="151">
        <f t="shared" ref="BC27:BC31" si="69">(SUMIF($A$3:$A$29,AW27,$AI$3:$AI$29)/SUMIF($A$3:$A$29,AW27,$AE$3:$AE$29)-$BC9)/$BC9</f>
        <v>-0.16193971095259563</v>
      </c>
      <c r="BD27" s="156">
        <v>17.519423010000001</v>
      </c>
      <c r="BE27" s="156">
        <v>18.215395869999998</v>
      </c>
      <c r="BF27" s="151">
        <f t="shared" ref="BF27" si="70">(BD27/BE27-$BF$9)/$BF$9</f>
        <v>9.2230791599388601E-2</v>
      </c>
      <c r="BG27" s="151">
        <f t="shared" ref="BG27" si="71">((BD27+BE27)-$BG$9)/$BG$9</f>
        <v>-2.3460998795483745E-2</v>
      </c>
      <c r="BH27" s="242">
        <v>23.486709340000001</v>
      </c>
      <c r="BI27" s="155">
        <f>(BH27-$BH$9)/$BH$9</f>
        <v>8.4466388598877423E-2</v>
      </c>
      <c r="BJ27" s="198">
        <v>47.717231720000001</v>
      </c>
      <c r="BK27" s="44">
        <f t="shared" ref="BK27:BK31" si="72">(BJ27-$BJ9)/$BJ9</f>
        <v>2.6692703953753495E-2</v>
      </c>
      <c r="BL27" s="242">
        <v>49.773951179999997</v>
      </c>
      <c r="BM27" s="155">
        <f t="shared" ref="BM27" si="73">(BL27-$BL$9)/$BL$9</f>
        <v>7.0945456838758872E-2</v>
      </c>
      <c r="BN27" s="23">
        <f t="shared" ref="BN27:BN31" si="74">SUMIF($A$3:$A$29,AW27,$W$3:$W$29)</f>
        <v>994.96747360000006</v>
      </c>
      <c r="BO27" s="23">
        <f t="shared" ref="BO27:BO31" si="75">SUMIF($A$3:$A$29,AW27,$AA$3:$AA$29)</f>
        <v>15.490814376711644</v>
      </c>
      <c r="BP27" s="13"/>
      <c r="BQ27" s="13"/>
      <c r="BR27" s="13"/>
    </row>
    <row r="28" spans="1:70" x14ac:dyDescent="0.25">
      <c r="A28" s="42">
        <v>2095</v>
      </c>
      <c r="B28" s="12">
        <f>SUMIF('EDU projections'!$B$37:$B$63,'1'!$A28,'EDU projections'!$D$37:$D$63)</f>
        <v>0.12</v>
      </c>
      <c r="C28" s="13">
        <f>SUMIF('EDU projections'!$B$64:$B$90,'1'!$A28,'EDU projections'!$D$64:$D$90)</f>
        <v>0</v>
      </c>
      <c r="D28" s="13">
        <f>SUMIF('EDU projections'!$B$91:$B$117,'1'!$A28,'EDU projections'!$D$91:$D$117)</f>
        <v>0</v>
      </c>
      <c r="E28" s="13">
        <f>SUMIF('EDU projections'!$B$118:$B$144,'1'!$A28,'EDU projections'!$D$118:$D$144)</f>
        <v>0.04</v>
      </c>
      <c r="F28" s="13">
        <f>SUMIF('EDU projections'!$B$145:$B$171,'1'!$A28,'EDU projections'!$D$145:$D$171)</f>
        <v>0.02</v>
      </c>
      <c r="G28" s="13">
        <f>SUMIF('EDU projections'!$B$172:$B$198,'1'!$A28,'EDU projections'!$D$172:$D$198)</f>
        <v>0.35</v>
      </c>
      <c r="H28" s="14">
        <f>SUMIF('EDU projections'!$B$199:$B$225,'1'!$A28,'EDU projections'!$D$199:$D$225)</f>
        <v>0.46</v>
      </c>
      <c r="I28" s="12">
        <f t="shared" si="8"/>
        <v>0.12</v>
      </c>
      <c r="J28" s="13">
        <f t="shared" si="9"/>
        <v>0.06</v>
      </c>
      <c r="K28" s="13">
        <f t="shared" si="10"/>
        <v>0.81</v>
      </c>
      <c r="L28" s="24">
        <f>SUMIF(UN!$A$10:'UN'!$A$95,A28,UN!$B$10:'UN'!$B$95)</f>
        <v>46521.811000000002</v>
      </c>
      <c r="M28" s="44"/>
      <c r="N28" s="61">
        <f t="shared" si="11"/>
        <v>5.5826173200000007</v>
      </c>
      <c r="O28" s="61">
        <f t="shared" si="3"/>
        <v>2.7913086600000003</v>
      </c>
      <c r="P28" s="62">
        <f t="shared" si="3"/>
        <v>37.682666910000009</v>
      </c>
      <c r="Q28" s="89">
        <f t="shared" si="12"/>
        <v>40.473975570000007</v>
      </c>
      <c r="R28" s="29">
        <f t="shared" si="13"/>
        <v>13.500000000000002</v>
      </c>
      <c r="S28" s="12"/>
      <c r="T28" s="23"/>
      <c r="U28" s="25"/>
      <c r="V28" s="25"/>
      <c r="W28" s="25"/>
      <c r="X28" s="26"/>
      <c r="Y28" s="12"/>
      <c r="Z28" s="13"/>
      <c r="AA28" s="13"/>
      <c r="AB28" s="14"/>
      <c r="AC28" s="12"/>
      <c r="AD28" s="13"/>
      <c r="AE28" s="13"/>
      <c r="AF28" s="14"/>
      <c r="AG28" s="12"/>
      <c r="AH28" s="13"/>
      <c r="AI28" s="13"/>
      <c r="AJ28" s="14"/>
      <c r="AV28" s="209"/>
      <c r="AW28" s="132">
        <v>2040</v>
      </c>
      <c r="AX28" s="13"/>
      <c r="AY28" s="13"/>
      <c r="AZ28" s="151">
        <f t="shared" si="66"/>
        <v>0.15211938149491061</v>
      </c>
      <c r="BA28" s="151">
        <f t="shared" si="67"/>
        <v>0.29245914031736264</v>
      </c>
      <c r="BB28" s="151">
        <f t="shared" si="68"/>
        <v>2.3515500280262114E-2</v>
      </c>
      <c r="BC28" s="151">
        <f t="shared" si="69"/>
        <v>-0.20808676394292944</v>
      </c>
      <c r="BD28" s="156">
        <v>26.906119449999998</v>
      </c>
      <c r="BE28" s="156">
        <v>13.08968466</v>
      </c>
      <c r="BF28" s="151">
        <f t="shared" ref="BF28" si="76">(BD28/BE28-$BF$10)/$BF$10</f>
        <v>0.12366238558280869</v>
      </c>
      <c r="BG28" s="151">
        <f t="shared" ref="BG28" si="77">((BD28+BE28)-$BG$10)/$BG$10</f>
        <v>-4.6260540657216624E-2</v>
      </c>
      <c r="BH28" s="242">
        <v>52.374463949999999</v>
      </c>
      <c r="BI28" s="155">
        <f>(BH28-$BH$10)/$BH$10</f>
        <v>7.7382050076625811E-2</v>
      </c>
      <c r="BJ28" s="198">
        <v>100.59756759</v>
      </c>
      <c r="BK28" s="44">
        <f t="shared" si="72"/>
        <v>2.8589752673414258E-2</v>
      </c>
      <c r="BL28" s="242">
        <v>104.42473859</v>
      </c>
      <c r="BM28" s="155">
        <f t="shared" ref="BM28" si="78">(BL28-$BL$10)/$BL$10</f>
        <v>6.7721800958846071E-2</v>
      </c>
      <c r="BN28" s="23">
        <f t="shared" si="74"/>
        <v>1112.9290860000001</v>
      </c>
      <c r="BO28" s="23">
        <f t="shared" si="75"/>
        <v>16.129671340928748</v>
      </c>
      <c r="BP28" s="13"/>
      <c r="BQ28" s="13"/>
      <c r="BR28" s="13"/>
    </row>
    <row r="29" spans="1:70" ht="15.75" thickBot="1" x14ac:dyDescent="0.3">
      <c r="A29" s="43">
        <v>2100</v>
      </c>
      <c r="B29" s="15">
        <f>SUMIF('EDU projections'!$B$37:$B$63,'1'!$A29,'EDU projections'!$D$37:$D$63)</f>
        <v>0.12</v>
      </c>
      <c r="C29" s="16">
        <f>SUMIF('EDU projections'!$B$64:$B$90,'1'!$A29,'EDU projections'!$D$64:$D$90)</f>
        <v>0</v>
      </c>
      <c r="D29" s="16">
        <f>SUMIF('EDU projections'!$B$91:$B$117,'1'!$A29,'EDU projections'!$D$91:$D$117)</f>
        <v>0</v>
      </c>
      <c r="E29" s="16">
        <f>SUMIF('EDU projections'!$B$118:$B$144,'1'!$A29,'EDU projections'!$D$118:$D$144)</f>
        <v>0.03</v>
      </c>
      <c r="F29" s="16">
        <f>SUMIF('EDU projections'!$B$145:$B$171,'1'!$A29,'EDU projections'!$D$145:$D$171)</f>
        <v>0.02</v>
      </c>
      <c r="G29" s="16">
        <f>SUMIF('EDU projections'!$B$172:$B$198,'1'!$A29,'EDU projections'!$D$172:$D$198)</f>
        <v>0.34</v>
      </c>
      <c r="H29" s="17">
        <f>SUMIF('EDU projections'!$B$199:$B$225,'1'!$A29,'EDU projections'!$D$199:$D$225)</f>
        <v>0.48</v>
      </c>
      <c r="I29" s="15">
        <f t="shared" si="8"/>
        <v>0.12</v>
      </c>
      <c r="J29" s="16">
        <f t="shared" si="9"/>
        <v>0.05</v>
      </c>
      <c r="K29" s="16">
        <f t="shared" si="10"/>
        <v>0.82000000000000006</v>
      </c>
      <c r="L29" s="28">
        <f>SUMIF(UN!$A$10:'UN'!$A$95,A29,UN!$B$10:'UN'!$B$95)</f>
        <v>45320.995999999999</v>
      </c>
      <c r="M29" s="117">
        <f>(L29-L25)/L25</f>
        <v>-9.7993687089701381E-2</v>
      </c>
      <c r="N29" s="86">
        <f t="shared" si="11"/>
        <v>5.4385195199999998</v>
      </c>
      <c r="O29" s="86">
        <f t="shared" si="3"/>
        <v>2.2660498000000002</v>
      </c>
      <c r="P29" s="87">
        <f t="shared" si="3"/>
        <v>37.163216720000001</v>
      </c>
      <c r="Q29" s="97">
        <f t="shared" si="12"/>
        <v>39.429266519999999</v>
      </c>
      <c r="R29" s="176">
        <f t="shared" si="13"/>
        <v>16.399999999999999</v>
      </c>
      <c r="S29" s="15"/>
      <c r="T29" s="53"/>
      <c r="U29" s="65">
        <f>RCP!Q2</f>
        <v>1007.40863</v>
      </c>
      <c r="V29" s="65">
        <f>RCP!Q3</f>
        <v>1334.7340224</v>
      </c>
      <c r="W29" s="65">
        <f>RCP!P5</f>
        <v>2475.6255480000004</v>
      </c>
      <c r="X29" s="66">
        <f>RCP!Q5</f>
        <v>2784.5165440000001</v>
      </c>
      <c r="Y29" s="15">
        <f>$Z$5+$AB$3*(U29-U$9)^$AB$4*(1-$AB$5*$Z$5)</f>
        <v>15.570500467898743</v>
      </c>
      <c r="Z29" s="16">
        <f>$Z$5+$AB$3*(V29-V$9)^$AB$4*(1-$AB$5*$Z$5)</f>
        <v>16.980707281570886</v>
      </c>
      <c r="AA29" s="16">
        <f>$Z$5+$AB$3*(W29-W$9)^$AB$4*(1-$AB$5*$Z$5)</f>
        <v>19.590620295118363</v>
      </c>
      <c r="AB29" s="17">
        <f>$Z$5+$AB$3*(X29-X$9)^$AB$4*(1-$AB$5*$Z$5)</f>
        <v>20.108332076219213</v>
      </c>
      <c r="AC29" s="145">
        <f t="shared" ref="AC29:AF29" si="79">MAX(0.001, $AD$3+$AD$4*Y29+$AD$5*Y29^2)</f>
        <v>0.78589860492071706</v>
      </c>
      <c r="AD29" s="146">
        <f t="shared" si="79"/>
        <v>0.88514357831235291</v>
      </c>
      <c r="AE29" s="146">
        <f t="shared" si="79"/>
        <v>0.9922265049996799</v>
      </c>
      <c r="AF29" s="147">
        <f t="shared" si="79"/>
        <v>1.0016476415967199</v>
      </c>
      <c r="AG29" s="145">
        <f t="shared" si="23"/>
        <v>0.98802692234397904</v>
      </c>
      <c r="AH29" s="146">
        <f t="shared" si="17"/>
        <v>0.99526441702616353</v>
      </c>
      <c r="AI29" s="146">
        <f t="shared" si="17"/>
        <v>0.984527095450211</v>
      </c>
      <c r="AJ29" s="147">
        <f t="shared" si="17"/>
        <v>0.9786730226562721</v>
      </c>
      <c r="AK29" s="68"/>
      <c r="AL29" s="67"/>
      <c r="AM29" s="67"/>
      <c r="AN29" s="67"/>
      <c r="AV29" s="209"/>
      <c r="AW29" s="132">
        <v>2060</v>
      </c>
      <c r="AX29" s="13"/>
      <c r="AY29" s="13"/>
      <c r="AZ29" s="151">
        <f t="shared" si="66"/>
        <v>0.2011721057983171</v>
      </c>
      <c r="BA29" s="151">
        <f t="shared" si="67"/>
        <v>0.36474615873449279</v>
      </c>
      <c r="BB29" s="151">
        <f t="shared" si="68"/>
        <v>2.6508475511074169E-2</v>
      </c>
      <c r="BC29" s="151">
        <f t="shared" si="69"/>
        <v>-0.24783926377712687</v>
      </c>
      <c r="BD29" s="156">
        <v>32.362135039999998</v>
      </c>
      <c r="BE29" s="156">
        <v>7.3861016299999998</v>
      </c>
      <c r="BF29" s="151">
        <f t="shared" ref="BF29" si="80">(BD29/BE29-$BF$11)/$BF$11</f>
        <v>0.15296620569822236</v>
      </c>
      <c r="BG29" s="151">
        <f t="shared" ref="BG29" si="81">((BD29+BE29)-$BG$11)/$BG$11</f>
        <v>-6.3263634745670372E-2</v>
      </c>
      <c r="BH29" s="242">
        <v>98.778191660000005</v>
      </c>
      <c r="BI29" s="155">
        <f>(BH29-$BH$11)/$BH$11</f>
        <v>6.318783723697402E-2</v>
      </c>
      <c r="BJ29" s="198">
        <v>185.47343366000001</v>
      </c>
      <c r="BK29" s="44">
        <f t="shared" si="72"/>
        <v>2.9456472018370719E-2</v>
      </c>
      <c r="BL29" s="242">
        <v>190.49088158999999</v>
      </c>
      <c r="BM29" s="155">
        <f t="shared" ref="BM29" si="82">(BL29-$BL$11)/$BL$11</f>
        <v>5.7305442852772268E-2</v>
      </c>
      <c r="BN29" s="23">
        <f t="shared" si="74"/>
        <v>1286.1588864</v>
      </c>
      <c r="BO29" s="23">
        <f t="shared" si="75"/>
        <v>16.816409481176439</v>
      </c>
      <c r="BP29" s="13"/>
      <c r="BQ29" s="13"/>
      <c r="BR29" s="13"/>
    </row>
    <row r="30" spans="1:70" x14ac:dyDescent="0.25">
      <c r="Q30" s="121">
        <f>(Q29-Q25)/Q25</f>
        <v>-9.7993687089701367E-2</v>
      </c>
      <c r="AV30" s="209"/>
      <c r="AW30" s="132">
        <v>2080</v>
      </c>
      <c r="AX30" s="13"/>
      <c r="AY30" s="13"/>
      <c r="AZ30" s="151">
        <f t="shared" si="66"/>
        <v>0.25228437955532307</v>
      </c>
      <c r="BA30" s="151">
        <f t="shared" si="67"/>
        <v>0.42864403072491913</v>
      </c>
      <c r="BB30" s="151">
        <f t="shared" si="68"/>
        <v>2.7245828407884722E-2</v>
      </c>
      <c r="BC30" s="151">
        <f t="shared" si="69"/>
        <v>-0.28096446258439761</v>
      </c>
      <c r="BD30" s="156">
        <v>33.325484969999998</v>
      </c>
      <c r="BE30" s="156">
        <v>3.5796015099999998</v>
      </c>
      <c r="BF30" s="151">
        <f t="shared" ref="BF30" si="83">(BD30/BE30-$BF$12)/$BF$12</f>
        <v>0.17928077088442806</v>
      </c>
      <c r="BG30" s="151">
        <f t="shared" ref="BG30" si="84">((BD30+BE30)-$BG$12)/$BG$12</f>
        <v>-7.396467448813103E-2</v>
      </c>
      <c r="BH30" s="242">
        <v>166.64141756999999</v>
      </c>
      <c r="BI30" s="155">
        <f>(BH30-$BH$12)/$BH$12</f>
        <v>4.969441742401922E-2</v>
      </c>
      <c r="BJ30" s="198">
        <v>310.67660740000002</v>
      </c>
      <c r="BK30" s="44">
        <f t="shared" si="72"/>
        <v>2.8867091478643192E-2</v>
      </c>
      <c r="BL30" s="242">
        <v>315.85037163999999</v>
      </c>
      <c r="BM30" s="155">
        <f t="shared" ref="BM30" si="85">(BL30-$BL$12)/$BL$12</f>
        <v>4.6001036033250106E-2</v>
      </c>
      <c r="BN30" s="23">
        <f t="shared" si="74"/>
        <v>1517.8381256</v>
      </c>
      <c r="BO30" s="23">
        <f t="shared" si="75"/>
        <v>17.531981313774523</v>
      </c>
      <c r="BP30" s="13"/>
      <c r="BQ30" s="13"/>
      <c r="BR30" s="13"/>
    </row>
    <row r="31" spans="1:70" ht="15.75" thickBot="1" x14ac:dyDescent="0.3">
      <c r="AV31" s="210"/>
      <c r="AW31" s="133">
        <v>2100</v>
      </c>
      <c r="AX31" s="16"/>
      <c r="AY31" s="16"/>
      <c r="AZ31" s="152">
        <f t="shared" si="66"/>
        <v>0.39933002107988308</v>
      </c>
      <c r="BA31" s="152">
        <f t="shared" si="67"/>
        <v>0.5474524407356206</v>
      </c>
      <c r="BB31" s="152">
        <f t="shared" si="68"/>
        <v>1.5814171946152315E-2</v>
      </c>
      <c r="BC31" s="152">
        <f t="shared" si="69"/>
        <v>-0.34355709732619671</v>
      </c>
      <c r="BD31" s="157">
        <v>31.488777120000002</v>
      </c>
      <c r="BE31" s="157">
        <v>1.5556450500000001</v>
      </c>
      <c r="BF31" s="152">
        <f t="shared" ref="BF31" si="86">(BD31/BE31-$BF$13)/$BF$13</f>
        <v>0.23424517023278715</v>
      </c>
      <c r="BG31" s="152">
        <f t="shared" ref="BG31" si="87">((BD31+BE31)-$BG$13)/$BG$13</f>
        <v>-8.0834917358723835E-2</v>
      </c>
      <c r="BH31" s="243">
        <v>0</v>
      </c>
      <c r="BI31" s="17"/>
      <c r="BJ31" s="199">
        <v>485.87833393</v>
      </c>
      <c r="BK31" s="200">
        <f t="shared" si="72"/>
        <v>1.6759961142915433E-2</v>
      </c>
      <c r="BL31" s="243">
        <v>491.03183293000001</v>
      </c>
      <c r="BM31" s="17">
        <f t="shared" ref="BM31" si="88">(BL31-$BL$13)/$BL$13</f>
        <v>2.7544289393586038E-2</v>
      </c>
      <c r="BN31" s="53">
        <f t="shared" si="74"/>
        <v>2475.6255480000004</v>
      </c>
      <c r="BO31" s="53">
        <f t="shared" si="75"/>
        <v>19.590620295118363</v>
      </c>
      <c r="BP31" s="13"/>
      <c r="BQ31" s="13"/>
      <c r="BR31" s="13"/>
    </row>
    <row r="32" spans="1:70" x14ac:dyDescent="0.25">
      <c r="AV32" s="208" t="s">
        <v>127</v>
      </c>
      <c r="AW32" s="131">
        <v>2000</v>
      </c>
      <c r="AX32" s="10"/>
      <c r="AY32" s="10"/>
      <c r="AZ32" s="150">
        <f>(SUMIF($A$3:$A$29,AW32,$AB$3:$AB$29)-$AZ$8)/$AZ$8</f>
        <v>0</v>
      </c>
      <c r="BA32" s="150">
        <f>(SUMIF($A$3:$A$29,AW32,$AF$3:$AF$29)-$BA8)/$BA8</f>
        <v>0</v>
      </c>
      <c r="BB32" s="150">
        <f>(SUMIF($A$3:$A$29,AW32,$AJ$3:$AJ$29)-$BB8)/$BB8</f>
        <v>0</v>
      </c>
      <c r="BC32" s="150">
        <f>(SUMIF($A$3:$A$29,AW32,$AJ$3:$AJ$29)/SUMIF($A$3:$A$29,AW32,$AF$3:$AF$29)-$BC8)/$BC8</f>
        <v>0</v>
      </c>
      <c r="BD32" s="158">
        <v>7.95740947</v>
      </c>
      <c r="BE32" s="158">
        <v>18.772590529999999</v>
      </c>
      <c r="BF32" s="150">
        <f t="shared" ref="BF32" si="89">(BD32/BE32-$BF$8)/$BF$8</f>
        <v>0</v>
      </c>
      <c r="BG32" s="150">
        <f t="shared" ref="BG32" si="90">((BD32+BE32)-$BG$8)/$BG$8</f>
        <v>0</v>
      </c>
      <c r="BH32" s="241">
        <v>8.1080546600000005</v>
      </c>
      <c r="BI32" s="154">
        <f>(BH32-$BH$8)/$BH$8</f>
        <v>1.6029145173476169E-2</v>
      </c>
      <c r="BJ32" s="197">
        <v>18.904940849999999</v>
      </c>
      <c r="BK32" s="194">
        <f>(BJ32-$BJ8)/$BJ8</f>
        <v>0</v>
      </c>
      <c r="BL32" s="241">
        <v>18.904940849999999</v>
      </c>
      <c r="BM32" s="154">
        <f t="shared" ref="BM32" si="91">(BL32-$BL$8)/$BL$8</f>
        <v>0</v>
      </c>
      <c r="BN32" s="23">
        <f>SUMIF($A$3:$A$29,AW32,$X$3:$X$29)</f>
        <v>881.61855719999994</v>
      </c>
      <c r="BO32" s="23">
        <f>SUMIF($A$3:$A$29,AW32,$AB$3:$AB$29)</f>
        <v>14</v>
      </c>
      <c r="BP32" s="13"/>
      <c r="BQ32" s="13"/>
      <c r="BR32" s="13"/>
    </row>
    <row r="33" spans="48:70" x14ac:dyDescent="0.25">
      <c r="AV33" s="209"/>
      <c r="AW33" s="132">
        <v>2020</v>
      </c>
      <c r="AX33" s="13"/>
      <c r="AY33" s="13"/>
      <c r="AZ33" s="151">
        <f t="shared" ref="AZ33:AZ37" si="92">(SUMIF($A$3:$A$29,AW33,$AB$3:$AB$29)-$AZ$8)/$AZ$8</f>
        <v>0.1295352714191278</v>
      </c>
      <c r="BA33" s="151">
        <f t="shared" ref="BA33:BA37" si="93">(SUMIF($A$3:$A$29,AW33,$AF$3:$AF$29)-$BA9)/$BA9</f>
        <v>0.25556770337264884</v>
      </c>
      <c r="BB33" s="151">
        <f t="shared" ref="BB33:BB37" si="94">(SUMIF($A$3:$A$29,AW33,$AJ$3:$AJ$29)-$BB9)/$BB9</f>
        <v>2.1385014264312784E-2</v>
      </c>
      <c r="BC33" s="151">
        <f t="shared" ref="BC33:BC37" si="95">(SUMIF($A$3:$A$29,AW33,$AJ$3:$AJ$29)/SUMIF($A$3:$A$29,AW33,$AF$3:$AF$29)-$BC9)/$BC9</f>
        <v>-0.18651538143206869</v>
      </c>
      <c r="BD33" s="156">
        <v>17.582370900000001</v>
      </c>
      <c r="BE33" s="156">
        <v>18.011958450000002</v>
      </c>
      <c r="BF33" s="151">
        <f t="shared" ref="BF33" si="96">(BD33/BE33-$BF$9)/$BF$9</f>
        <v>0.10853582198304342</v>
      </c>
      <c r="BG33" s="151">
        <f t="shared" ref="BG33" si="97">((BD33+BE33)-$BG$9)/$BG$9</f>
        <v>-2.7300209671760851E-2</v>
      </c>
      <c r="BH33" s="242">
        <v>23.799788629999998</v>
      </c>
      <c r="BI33" s="155">
        <f>(BH33-$BH$9)/$BH$9</f>
        <v>9.8922392718328825E-2</v>
      </c>
      <c r="BJ33" s="198">
        <v>47.898446710000002</v>
      </c>
      <c r="BK33" s="44">
        <f t="shared" ref="BK33:BK37" si="98">(BJ33-$BJ9)/$BJ9</f>
        <v>3.0591758894152984E-2</v>
      </c>
      <c r="BL33" s="242">
        <v>50.3133822</v>
      </c>
      <c r="BM33" s="155">
        <f t="shared" ref="BM33" si="99">(BL33-$BL$9)/$BL$9</f>
        <v>8.2551953539366993E-2</v>
      </c>
      <c r="BN33" s="23">
        <f t="shared" ref="BN33:BN37" si="100">SUMIF($A$3:$A$29,AW33,$X$3:$X$29)</f>
        <v>1049.3453252000002</v>
      </c>
      <c r="BO33" s="23">
        <f t="shared" ref="BO33:BO37" si="101">SUMIF($A$3:$A$29,AW33,$AB$3:$AB$29)</f>
        <v>15.813493799867789</v>
      </c>
      <c r="BP33" s="13"/>
      <c r="BQ33" s="13"/>
      <c r="BR33" s="13"/>
    </row>
    <row r="34" spans="48:70" x14ac:dyDescent="0.25">
      <c r="AV34" s="209"/>
      <c r="AW34" s="132">
        <v>2040</v>
      </c>
      <c r="AX34" s="13"/>
      <c r="AY34" s="13"/>
      <c r="AZ34" s="151">
        <f t="shared" si="92"/>
        <v>0.19726733711497602</v>
      </c>
      <c r="BA34" s="151">
        <f t="shared" si="93"/>
        <v>0.35938524477783346</v>
      </c>
      <c r="BB34" s="151">
        <f t="shared" si="94"/>
        <v>2.6352222319935666E-2</v>
      </c>
      <c r="BC34" s="151">
        <f t="shared" si="95"/>
        <v>-0.24498796329978256</v>
      </c>
      <c r="BD34" s="156">
        <v>26.883472319999999</v>
      </c>
      <c r="BE34" s="156">
        <v>12.76955135</v>
      </c>
      <c r="BF34" s="151">
        <f t="shared" ref="BF34" si="102">(BD34/BE34-$BF$10)/$BF$10</f>
        <v>0.15086315123998673</v>
      </c>
      <c r="BG34" s="151">
        <f t="shared" ref="BG34" si="103">((BD34+BE34)-$BG$10)/$BG$10</f>
        <v>-5.4434478868828691E-2</v>
      </c>
      <c r="BH34" s="242">
        <v>53.059616050000002</v>
      </c>
      <c r="BI34" s="155">
        <f>(BH34-$BH$10)/$BH$10</f>
        <v>9.1476143236548429E-2</v>
      </c>
      <c r="BJ34" s="198">
        <v>100.96642016</v>
      </c>
      <c r="BK34" s="44">
        <f t="shared" si="98"/>
        <v>3.2361195490953808E-2</v>
      </c>
      <c r="BL34" s="242">
        <v>105.58425475999999</v>
      </c>
      <c r="BM34" s="155">
        <f t="shared" ref="BM34" si="104">(BL34-$BL$10)/$BL$10</f>
        <v>7.9577618938282704E-2</v>
      </c>
      <c r="BN34" s="23">
        <f t="shared" si="100"/>
        <v>1270.6069692000001</v>
      </c>
      <c r="BO34" s="23">
        <f t="shared" si="101"/>
        <v>16.761742719609664</v>
      </c>
      <c r="BP34" s="13"/>
      <c r="BQ34" s="13"/>
      <c r="BR34" s="13"/>
    </row>
    <row r="35" spans="48:70" x14ac:dyDescent="0.25">
      <c r="AV35" s="209"/>
      <c r="AW35" s="132">
        <v>2060</v>
      </c>
      <c r="AX35" s="13"/>
      <c r="AY35" s="13"/>
      <c r="AZ35" s="151">
        <f t="shared" si="92"/>
        <v>0.28003125403015616</v>
      </c>
      <c r="BA35" s="151">
        <f t="shared" si="93"/>
        <v>0.45844910670392586</v>
      </c>
      <c r="BB35" s="151">
        <f t="shared" si="94"/>
        <v>2.6628369193595916E-2</v>
      </c>
      <c r="BC35" s="151">
        <f t="shared" si="95"/>
        <v>-0.29608214337093913</v>
      </c>
      <c r="BD35" s="156">
        <v>32.153940409999997</v>
      </c>
      <c r="BE35" s="156">
        <v>7.0992788400000002</v>
      </c>
      <c r="BF35" s="151">
        <f t="shared" ref="BF35" si="105">(BD35/BE35-$BF$11)/$BF$11</f>
        <v>0.19183095077826662</v>
      </c>
      <c r="BG35" s="151">
        <f t="shared" ref="BG35" si="106">((BD35+BE35)-$BG$11)/$BG$11</f>
        <v>-7.4929581655419727E-2</v>
      </c>
      <c r="BH35" s="242">
        <v>99.535682960000003</v>
      </c>
      <c r="BI35" s="155">
        <f>(BH35-$BH$11)/$BH$11</f>
        <v>7.134100873605248E-2</v>
      </c>
      <c r="BJ35" s="198">
        <v>185.60101818999999</v>
      </c>
      <c r="BK35" s="44">
        <f t="shared" si="98"/>
        <v>3.0164620444514973E-2</v>
      </c>
      <c r="BL35" s="242">
        <v>191.73944566</v>
      </c>
      <c r="BM35" s="155">
        <f t="shared" ref="BM35" si="107">(BL35-$BL$11)/$BL$11</f>
        <v>6.4235504680102931E-2</v>
      </c>
      <c r="BN35" s="23">
        <f t="shared" si="100"/>
        <v>1665.4800136000001</v>
      </c>
      <c r="BO35" s="23">
        <f t="shared" si="101"/>
        <v>17.920437556422186</v>
      </c>
      <c r="BP35" s="13"/>
      <c r="BQ35" s="13"/>
      <c r="BR35" s="13"/>
    </row>
    <row r="36" spans="48:70" x14ac:dyDescent="0.25">
      <c r="AV36" s="209"/>
      <c r="AW36" s="132">
        <v>2080</v>
      </c>
      <c r="AX36" s="13"/>
      <c r="AY36" s="13"/>
      <c r="AZ36" s="151">
        <f t="shared" si="92"/>
        <v>0.36088301328199257</v>
      </c>
      <c r="BA36" s="151">
        <f t="shared" si="93"/>
        <v>0.52570534585282225</v>
      </c>
      <c r="BB36" s="151">
        <f t="shared" si="94"/>
        <v>2.0745164762067524E-2</v>
      </c>
      <c r="BC36" s="151">
        <f t="shared" si="95"/>
        <v>-0.33096835012300335</v>
      </c>
      <c r="BD36" s="156">
        <v>32.947957199999998</v>
      </c>
      <c r="BE36" s="156">
        <v>3.41382187</v>
      </c>
      <c r="BF36" s="151">
        <f t="shared" ref="BF36" si="108">(BD36/BE36-$BF$12)/$BF$12</f>
        <v>0.22253994575213948</v>
      </c>
      <c r="BG36" s="151">
        <f t="shared" ref="BG36" si="109">((BD36+BE36)-$BG$12)/$BG$12</f>
        <v>-8.7597533864981827E-2</v>
      </c>
      <c r="BH36" s="242">
        <v>166.20647618000001</v>
      </c>
      <c r="BI36" s="155">
        <f>(BH36-$BH$12)/$BH$12</f>
        <v>4.6954669073055767E-2</v>
      </c>
      <c r="BJ36" s="198">
        <v>308.80104956000002</v>
      </c>
      <c r="BK36" s="44">
        <f t="shared" si="98"/>
        <v>2.2655810378691393E-2</v>
      </c>
      <c r="BL36" s="242">
        <v>314.98938717999999</v>
      </c>
      <c r="BM36" s="155">
        <f t="shared" ref="BM36" si="110">(BL36-$BL$12)/$BL$12</f>
        <v>4.3149715540915838E-2</v>
      </c>
      <c r="BN36" s="23">
        <f t="shared" si="100"/>
        <v>2183.46326</v>
      </c>
      <c r="BO36" s="23">
        <f t="shared" si="101"/>
        <v>19.052362185947896</v>
      </c>
      <c r="BP36" s="13"/>
      <c r="BQ36" s="13"/>
      <c r="BR36" s="13"/>
    </row>
    <row r="37" spans="48:70" ht="15.75" thickBot="1" x14ac:dyDescent="0.3">
      <c r="AV37" s="210"/>
      <c r="AW37" s="133">
        <v>2100</v>
      </c>
      <c r="AX37" s="16"/>
      <c r="AY37" s="16"/>
      <c r="AZ37" s="152">
        <f t="shared" si="92"/>
        <v>0.43630943401565808</v>
      </c>
      <c r="BA37" s="152">
        <f t="shared" si="93"/>
        <v>0.56214541733736734</v>
      </c>
      <c r="BB37" s="152">
        <f t="shared" si="94"/>
        <v>9.774063821989188E-3</v>
      </c>
      <c r="BC37" s="152">
        <f t="shared" si="95"/>
        <v>-0.35359790925026657</v>
      </c>
      <c r="BD37" s="157">
        <v>31.028795070000001</v>
      </c>
      <c r="BE37" s="157">
        <v>1.5211480100000001</v>
      </c>
      <c r="BF37" s="152">
        <f t="shared" ref="BF37" si="111">(BD37/BE37-$BF$13)/$BF$13</f>
        <v>0.24379724463642405</v>
      </c>
      <c r="BG37" s="152">
        <f t="shared" ref="BG37" si="112">((BD37+BE37)-$BG$13)/$BG$13</f>
        <v>-9.4589369207994545E-2</v>
      </c>
      <c r="BH37" s="243">
        <v>0</v>
      </c>
      <c r="BI37" s="17"/>
      <c r="BJ37" s="199">
        <v>483.00133916999999</v>
      </c>
      <c r="BK37" s="200">
        <f t="shared" si="98"/>
        <v>1.0739497014116873E-2</v>
      </c>
      <c r="BL37" s="243">
        <v>488.29580491000002</v>
      </c>
      <c r="BM37" s="17">
        <f t="shared" ref="BM37" si="113">(BL37-$BL$13)/$BL$13</f>
        <v>2.1818815444583195E-2</v>
      </c>
      <c r="BN37" s="53">
        <f t="shared" si="100"/>
        <v>2784.5165440000001</v>
      </c>
      <c r="BO37" s="53">
        <f t="shared" si="101"/>
        <v>20.108332076219213</v>
      </c>
      <c r="BP37" s="13"/>
      <c r="BQ37" s="13"/>
      <c r="BR37" s="13"/>
    </row>
    <row r="42" spans="48:70" ht="61.5" x14ac:dyDescent="0.9">
      <c r="AW42" s="126"/>
      <c r="AX42" s="126"/>
      <c r="AY42" s="126"/>
      <c r="AZ42" s="126"/>
      <c r="BA42" s="126"/>
      <c r="BB42" s="126"/>
      <c r="BC42" s="126"/>
      <c r="BD42" s="244" t="s">
        <v>193</v>
      </c>
    </row>
    <row r="72" spans="51:51" x14ac:dyDescent="0.25">
      <c r="AY72" s="187"/>
    </row>
  </sheetData>
  <mergeCells count="13">
    <mergeCell ref="AV32:AV37"/>
    <mergeCell ref="AG1:AJ1"/>
    <mergeCell ref="AV2:AV7"/>
    <mergeCell ref="AV8:AV13"/>
    <mergeCell ref="AV14:AV19"/>
    <mergeCell ref="AV20:AV25"/>
    <mergeCell ref="AV26:AV31"/>
    <mergeCell ref="AC1:AF1"/>
    <mergeCell ref="B1:H1"/>
    <mergeCell ref="I1:K1"/>
    <mergeCell ref="N1:P1"/>
    <mergeCell ref="U1:X1"/>
    <mergeCell ref="Y1:AB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23"/>
  <sheetViews>
    <sheetView zoomScale="85" zoomScaleNormal="85" workbookViewId="0">
      <selection activeCell="K33" sqref="K33"/>
    </sheetView>
  </sheetViews>
  <sheetFormatPr defaultRowHeight="15" x14ac:dyDescent="0.25"/>
  <sheetData>
    <row r="1" spans="1:21" x14ac:dyDescent="0.25">
      <c r="A1" s="167"/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</row>
    <row r="2" spans="1:21" x14ac:dyDescent="0.25">
      <c r="A2" s="167"/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</row>
    <row r="3" spans="1:21" x14ac:dyDescent="0.25">
      <c r="A3" s="224" t="s">
        <v>173</v>
      </c>
      <c r="B3" s="167"/>
      <c r="C3" s="167"/>
      <c r="D3" s="167"/>
      <c r="E3" s="167"/>
      <c r="F3" s="167"/>
      <c r="G3" s="167"/>
      <c r="H3" s="167"/>
      <c r="I3" s="167"/>
      <c r="J3" s="167"/>
      <c r="K3" s="224" t="s">
        <v>190</v>
      </c>
      <c r="L3" s="167"/>
      <c r="M3" s="167"/>
      <c r="N3" s="167"/>
      <c r="O3" s="167"/>
      <c r="U3" s="167"/>
    </row>
    <row r="4" spans="1:21" ht="15" customHeight="1" x14ac:dyDescent="0.25">
      <c r="A4" s="224"/>
      <c r="B4" s="167"/>
      <c r="C4" s="167"/>
      <c r="D4" s="167"/>
      <c r="E4" s="167"/>
      <c r="F4" s="167"/>
      <c r="G4" s="167"/>
      <c r="H4" s="167"/>
      <c r="I4" s="167"/>
      <c r="J4" s="167"/>
      <c r="K4" s="224"/>
      <c r="L4" s="167"/>
      <c r="M4" s="167"/>
      <c r="N4" s="167"/>
      <c r="O4" s="167"/>
      <c r="U4" s="167"/>
    </row>
    <row r="5" spans="1:21" x14ac:dyDescent="0.25">
      <c r="A5" s="224"/>
      <c r="B5" s="167"/>
      <c r="C5" s="167"/>
      <c r="D5" s="167"/>
      <c r="E5" s="167"/>
      <c r="F5" s="167"/>
      <c r="G5" s="167"/>
      <c r="H5" s="167"/>
      <c r="I5" s="167"/>
      <c r="J5" s="167"/>
      <c r="K5" s="224"/>
      <c r="L5" s="167"/>
      <c r="M5" s="167"/>
      <c r="N5" s="167"/>
      <c r="O5" s="167"/>
      <c r="U5" s="167"/>
    </row>
    <row r="6" spans="1:21" x14ac:dyDescent="0.25">
      <c r="A6" s="224"/>
      <c r="B6" s="167"/>
      <c r="C6" s="167"/>
      <c r="D6" s="167"/>
      <c r="E6" s="167"/>
      <c r="F6" s="167"/>
      <c r="G6" s="167"/>
      <c r="H6" s="167"/>
      <c r="I6" s="167"/>
      <c r="J6" s="167"/>
      <c r="K6" s="224"/>
      <c r="L6" s="167"/>
      <c r="M6" s="167"/>
      <c r="N6" s="167"/>
      <c r="O6" s="167"/>
      <c r="U6" s="167"/>
    </row>
    <row r="7" spans="1:21" x14ac:dyDescent="0.25">
      <c r="A7" s="224"/>
      <c r="B7" s="167"/>
      <c r="C7" s="167"/>
      <c r="D7" s="167"/>
      <c r="E7" s="167"/>
      <c r="F7" s="167"/>
      <c r="G7" s="167"/>
      <c r="H7" s="167"/>
      <c r="I7" s="167"/>
      <c r="J7" s="167"/>
      <c r="K7" s="224"/>
      <c r="L7" s="167"/>
      <c r="M7" s="167"/>
      <c r="N7" s="167"/>
      <c r="O7" s="167"/>
      <c r="U7" s="167"/>
    </row>
    <row r="8" spans="1:21" x14ac:dyDescent="0.25">
      <c r="A8" s="224"/>
      <c r="B8" s="167"/>
      <c r="C8" s="167"/>
      <c r="D8" s="167"/>
      <c r="E8" s="167"/>
      <c r="F8" s="167"/>
      <c r="G8" s="167"/>
      <c r="H8" s="167"/>
      <c r="I8" s="167"/>
      <c r="J8" s="167"/>
      <c r="K8" s="224"/>
      <c r="L8" s="167"/>
      <c r="M8" s="167"/>
      <c r="N8" s="167"/>
      <c r="O8" s="167"/>
      <c r="U8" s="167"/>
    </row>
    <row r="9" spans="1:21" x14ac:dyDescent="0.25">
      <c r="A9" s="224"/>
      <c r="B9" s="167"/>
      <c r="C9" s="167"/>
      <c r="D9" s="167"/>
      <c r="E9" s="167"/>
      <c r="F9" s="167"/>
      <c r="G9" s="167"/>
      <c r="H9" s="167"/>
      <c r="I9" s="167"/>
      <c r="J9" s="167"/>
      <c r="K9" s="224"/>
      <c r="L9" s="167"/>
      <c r="M9" s="167"/>
      <c r="N9" s="167"/>
      <c r="O9" s="167"/>
      <c r="U9" s="167"/>
    </row>
    <row r="10" spans="1:21" x14ac:dyDescent="0.25">
      <c r="A10" s="224"/>
      <c r="B10" s="167"/>
      <c r="C10" s="167"/>
      <c r="D10" s="167"/>
      <c r="E10" s="167"/>
      <c r="F10" s="167"/>
      <c r="G10" s="167"/>
      <c r="H10" s="167"/>
      <c r="I10" s="167"/>
      <c r="J10" s="167"/>
      <c r="K10" s="224"/>
      <c r="L10" s="167"/>
      <c r="M10" s="167"/>
      <c r="N10" s="167"/>
      <c r="O10" s="167"/>
      <c r="U10" s="167"/>
    </row>
    <row r="11" spans="1:21" x14ac:dyDescent="0.25">
      <c r="A11" s="224"/>
      <c r="B11" s="167"/>
      <c r="C11" s="167"/>
      <c r="D11" s="167"/>
      <c r="E11" s="167"/>
      <c r="F11" s="167"/>
      <c r="G11" s="167"/>
      <c r="H11" s="167"/>
      <c r="I11" s="167"/>
      <c r="J11" s="167"/>
      <c r="K11" s="224"/>
      <c r="L11" s="167"/>
      <c r="M11" s="167"/>
      <c r="N11" s="167"/>
      <c r="O11" s="167"/>
      <c r="U11" s="167"/>
    </row>
    <row r="12" spans="1:21" ht="15" customHeight="1" x14ac:dyDescent="0.25">
      <c r="A12" s="224"/>
      <c r="B12" s="167"/>
      <c r="C12" s="167"/>
      <c r="D12" s="167"/>
      <c r="E12" s="167"/>
      <c r="F12" s="167"/>
      <c r="G12" s="167"/>
      <c r="H12" s="167"/>
      <c r="I12" s="167"/>
      <c r="J12" s="167"/>
      <c r="K12" s="224"/>
      <c r="L12" s="167"/>
      <c r="M12" s="167"/>
      <c r="N12" s="167"/>
      <c r="O12" s="167"/>
      <c r="U12" s="167"/>
    </row>
    <row r="13" spans="1:21" x14ac:dyDescent="0.25">
      <c r="A13" s="224"/>
      <c r="B13" s="167"/>
      <c r="C13" s="167"/>
      <c r="D13" s="167"/>
      <c r="E13" s="167"/>
      <c r="F13" s="167"/>
      <c r="G13" s="167"/>
      <c r="H13" s="167"/>
      <c r="I13" s="167"/>
      <c r="J13" s="167"/>
      <c r="K13" s="224"/>
      <c r="L13" s="167"/>
      <c r="M13" s="167"/>
      <c r="N13" s="167"/>
      <c r="O13" s="167"/>
      <c r="U13" s="167"/>
    </row>
    <row r="14" spans="1:21" x14ac:dyDescent="0.25">
      <c r="A14" s="224"/>
      <c r="B14" s="167"/>
      <c r="C14" s="167"/>
      <c r="D14" s="167"/>
      <c r="E14" s="167"/>
      <c r="F14" s="167"/>
      <c r="G14" s="167"/>
      <c r="H14" s="167"/>
      <c r="I14" s="167"/>
      <c r="J14" s="167"/>
      <c r="K14" s="224"/>
      <c r="L14" s="167"/>
      <c r="M14" s="167"/>
      <c r="N14" s="167"/>
      <c r="O14" s="167"/>
      <c r="U14" s="167"/>
    </row>
    <row r="15" spans="1:21" x14ac:dyDescent="0.25">
      <c r="A15" s="224"/>
      <c r="B15" s="167"/>
      <c r="C15" s="167"/>
      <c r="D15" s="167"/>
      <c r="E15" s="167"/>
      <c r="F15" s="167"/>
      <c r="G15" s="167"/>
      <c r="H15" s="167"/>
      <c r="I15" s="167"/>
      <c r="J15" s="167"/>
      <c r="K15" s="224"/>
      <c r="L15" s="167"/>
      <c r="M15" s="167"/>
      <c r="N15" s="167"/>
      <c r="O15" s="167"/>
      <c r="U15" s="167"/>
    </row>
    <row r="16" spans="1:21" x14ac:dyDescent="0.25">
      <c r="A16" s="224"/>
      <c r="B16" s="167"/>
      <c r="C16" s="167"/>
      <c r="D16" s="167"/>
      <c r="E16" s="167"/>
      <c r="F16" s="167"/>
      <c r="G16" s="167"/>
      <c r="H16" s="167"/>
      <c r="I16" s="167"/>
      <c r="J16" s="167"/>
      <c r="K16" s="224"/>
      <c r="L16" s="167"/>
      <c r="M16" s="167"/>
      <c r="N16" s="167"/>
      <c r="O16" s="167"/>
      <c r="U16" s="167"/>
    </row>
    <row r="17" spans="1:21" x14ac:dyDescent="0.25">
      <c r="A17" s="224"/>
      <c r="B17" s="167"/>
      <c r="C17" s="167"/>
      <c r="D17" s="167"/>
      <c r="E17" s="167"/>
      <c r="F17" s="167"/>
      <c r="G17" s="167"/>
      <c r="H17" s="167"/>
      <c r="I17" s="167"/>
      <c r="J17" s="167"/>
      <c r="K17" s="224"/>
      <c r="L17" s="167"/>
      <c r="M17" s="167"/>
      <c r="N17" s="167"/>
      <c r="O17" s="167"/>
      <c r="U17" s="167"/>
    </row>
    <row r="18" spans="1:21" x14ac:dyDescent="0.25">
      <c r="A18" s="224"/>
      <c r="B18" s="167"/>
      <c r="C18" s="167"/>
      <c r="D18" s="167"/>
      <c r="E18" s="167"/>
      <c r="F18" s="167"/>
      <c r="G18" s="167"/>
      <c r="H18" s="167"/>
      <c r="I18" s="167"/>
      <c r="J18" s="167"/>
      <c r="K18" s="224"/>
      <c r="L18" s="167"/>
      <c r="M18" s="167"/>
      <c r="N18" s="167"/>
      <c r="O18" s="167"/>
      <c r="U18" s="167"/>
    </row>
    <row r="19" spans="1:21" x14ac:dyDescent="0.25">
      <c r="A19" s="224"/>
      <c r="B19" s="167"/>
      <c r="C19" s="167"/>
      <c r="D19" s="167"/>
      <c r="E19" s="167"/>
      <c r="F19" s="167"/>
      <c r="G19" s="167"/>
      <c r="H19" s="167"/>
      <c r="I19" s="167"/>
      <c r="J19" s="167"/>
      <c r="K19" s="224"/>
      <c r="L19" s="167"/>
      <c r="M19" s="167"/>
      <c r="N19" s="167"/>
      <c r="O19" s="167"/>
      <c r="U19" s="167"/>
    </row>
    <row r="20" spans="1:21" x14ac:dyDescent="0.25">
      <c r="A20" s="224"/>
      <c r="B20" s="167"/>
      <c r="C20" s="167"/>
      <c r="D20" s="167"/>
      <c r="E20" s="167"/>
      <c r="F20" s="167"/>
      <c r="G20" s="167"/>
      <c r="H20" s="167"/>
      <c r="I20" s="167"/>
      <c r="J20" s="167"/>
      <c r="K20" s="224"/>
      <c r="L20" s="167"/>
      <c r="M20" s="167"/>
      <c r="N20" s="167"/>
      <c r="O20" s="167"/>
      <c r="U20" s="167"/>
    </row>
    <row r="21" spans="1:21" s="168" customFormat="1" x14ac:dyDescent="0.25">
      <c r="A21" s="224"/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</row>
    <row r="22" spans="1:21" s="168" customFormat="1" x14ac:dyDescent="0.25">
      <c r="A22" s="167"/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</row>
    <row r="23" spans="1:21" x14ac:dyDescent="0.25">
      <c r="A23" s="167"/>
      <c r="B23" s="167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</row>
  </sheetData>
  <mergeCells count="2">
    <mergeCell ref="K3:K20"/>
    <mergeCell ref="A3:A21"/>
  </mergeCells>
  <pageMargins left="0" right="0" top="0" bottom="0" header="0" footer="0"/>
  <pageSetup paperSize="6" scale="56" orientation="landscape" horizontalDpi="4294967292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55"/>
  <sheetViews>
    <sheetView topLeftCell="B1" zoomScale="77" zoomScaleNormal="77" workbookViewId="0">
      <selection activeCell="B7" sqref="B7:V28"/>
    </sheetView>
  </sheetViews>
  <sheetFormatPr defaultRowHeight="15" x14ac:dyDescent="0.25"/>
  <cols>
    <col min="2" max="2" width="9.140625" customWidth="1"/>
  </cols>
  <sheetData>
    <row r="1" spans="1:22" ht="15" customHeight="1" x14ac:dyDescent="0.25">
      <c r="A1" s="167"/>
      <c r="B1" s="225" t="s">
        <v>182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167"/>
    </row>
    <row r="2" spans="1:22" ht="15" customHeight="1" x14ac:dyDescent="0.25">
      <c r="A2" s="167"/>
      <c r="B2" s="225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167"/>
    </row>
    <row r="3" spans="1:22" ht="15" customHeight="1" x14ac:dyDescent="0.25">
      <c r="A3" s="167"/>
      <c r="B3" s="225"/>
      <c r="C3" s="225"/>
      <c r="D3" s="225"/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167"/>
    </row>
    <row r="4" spans="1:22" ht="15" customHeight="1" x14ac:dyDescent="0.25">
      <c r="A4" s="167"/>
      <c r="B4" s="225"/>
      <c r="C4" s="225"/>
      <c r="D4" s="225"/>
      <c r="E4" s="225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167"/>
    </row>
    <row r="5" spans="1:22" ht="15" customHeight="1" x14ac:dyDescent="0.25">
      <c r="A5" s="167"/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167"/>
    </row>
    <row r="6" spans="1:22" ht="15" customHeight="1" x14ac:dyDescent="0.25">
      <c r="A6" s="167"/>
      <c r="B6" s="201"/>
      <c r="C6" s="201"/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1"/>
      <c r="Q6" s="201"/>
      <c r="R6" s="201"/>
      <c r="S6" s="201"/>
      <c r="T6" s="201"/>
      <c r="U6" s="201"/>
      <c r="V6" s="167"/>
    </row>
    <row r="7" spans="1:22" x14ac:dyDescent="0.25">
      <c r="A7" s="167"/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67"/>
    </row>
    <row r="8" spans="1:22" x14ac:dyDescent="0.25">
      <c r="A8" s="167"/>
      <c r="B8" s="190"/>
      <c r="C8" s="190"/>
      <c r="D8" s="190"/>
      <c r="E8" s="190"/>
      <c r="F8" s="190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0"/>
      <c r="V8" s="167"/>
    </row>
    <row r="9" spans="1:22" x14ac:dyDescent="0.25">
      <c r="A9" s="167"/>
      <c r="B9" s="226" t="s">
        <v>191</v>
      </c>
      <c r="C9" s="190"/>
      <c r="D9" s="190"/>
      <c r="E9" s="190"/>
      <c r="F9" s="190"/>
      <c r="G9" s="190"/>
      <c r="H9" s="190"/>
      <c r="I9" s="190"/>
      <c r="J9" s="190"/>
      <c r="K9" s="190"/>
      <c r="L9" s="226" t="s">
        <v>192</v>
      </c>
      <c r="M9" s="190"/>
      <c r="N9" s="190"/>
      <c r="O9" s="190"/>
      <c r="P9" s="190"/>
      <c r="Q9" s="190"/>
      <c r="R9" s="190"/>
      <c r="S9" s="190"/>
      <c r="T9" s="190"/>
      <c r="U9" s="190"/>
      <c r="V9" s="167"/>
    </row>
    <row r="10" spans="1:22" x14ac:dyDescent="0.25">
      <c r="A10" s="167"/>
      <c r="B10" s="227"/>
      <c r="C10" s="190"/>
      <c r="D10" s="190"/>
      <c r="E10" s="190"/>
      <c r="F10" s="190"/>
      <c r="G10" s="190"/>
      <c r="H10" s="190"/>
      <c r="I10" s="190"/>
      <c r="J10" s="190"/>
      <c r="K10" s="190"/>
      <c r="L10" s="227"/>
      <c r="M10" s="190"/>
      <c r="N10" s="190"/>
      <c r="O10" s="190"/>
      <c r="P10" s="190"/>
      <c r="Q10" s="190"/>
      <c r="R10" s="190"/>
      <c r="S10" s="190"/>
      <c r="T10" s="190"/>
      <c r="U10" s="190"/>
      <c r="V10" s="167"/>
    </row>
    <row r="11" spans="1:22" x14ac:dyDescent="0.25">
      <c r="A11" s="167"/>
      <c r="B11" s="227"/>
      <c r="C11" s="190"/>
      <c r="D11" s="190"/>
      <c r="E11" s="190"/>
      <c r="F11" s="190"/>
      <c r="G11" s="190"/>
      <c r="H11" s="190"/>
      <c r="I11" s="190"/>
      <c r="J11" s="190"/>
      <c r="K11" s="190"/>
      <c r="L11" s="227"/>
      <c r="M11" s="190"/>
      <c r="N11" s="190"/>
      <c r="O11" s="190"/>
      <c r="P11" s="190"/>
      <c r="Q11" s="190"/>
      <c r="R11" s="190"/>
      <c r="S11" s="190"/>
      <c r="T11" s="190"/>
      <c r="U11" s="190"/>
      <c r="V11" s="167"/>
    </row>
    <row r="12" spans="1:22" x14ac:dyDescent="0.25">
      <c r="A12" s="167"/>
      <c r="B12" s="227"/>
      <c r="C12" s="190"/>
      <c r="D12" s="190"/>
      <c r="E12" s="190"/>
      <c r="F12" s="190"/>
      <c r="G12" s="190"/>
      <c r="H12" s="190"/>
      <c r="I12" s="190"/>
      <c r="J12" s="190"/>
      <c r="K12" s="190"/>
      <c r="L12" s="227"/>
      <c r="M12" s="190"/>
      <c r="N12" s="190"/>
      <c r="O12" s="190"/>
      <c r="P12" s="190"/>
      <c r="Q12" s="190"/>
      <c r="R12" s="190"/>
      <c r="S12" s="190"/>
      <c r="T12" s="190"/>
      <c r="U12" s="190"/>
      <c r="V12" s="167"/>
    </row>
    <row r="13" spans="1:22" x14ac:dyDescent="0.25">
      <c r="A13" s="167"/>
      <c r="B13" s="227"/>
      <c r="C13" s="190"/>
      <c r="D13" s="190"/>
      <c r="E13" s="190"/>
      <c r="F13" s="190"/>
      <c r="G13" s="190"/>
      <c r="H13" s="190"/>
      <c r="I13" s="190"/>
      <c r="J13" s="190"/>
      <c r="K13" s="190"/>
      <c r="L13" s="227"/>
      <c r="M13" s="190"/>
      <c r="N13" s="190"/>
      <c r="O13" s="190"/>
      <c r="P13" s="190"/>
      <c r="Q13" s="190"/>
      <c r="R13" s="190"/>
      <c r="S13" s="190"/>
      <c r="T13" s="190"/>
      <c r="U13" s="190"/>
      <c r="V13" s="167"/>
    </row>
    <row r="14" spans="1:22" x14ac:dyDescent="0.25">
      <c r="A14" s="167"/>
      <c r="B14" s="227"/>
      <c r="C14" s="190"/>
      <c r="D14" s="190"/>
      <c r="E14" s="190"/>
      <c r="F14" s="190"/>
      <c r="G14" s="190"/>
      <c r="H14" s="190"/>
      <c r="I14" s="190"/>
      <c r="J14" s="190"/>
      <c r="K14" s="190"/>
      <c r="L14" s="227"/>
      <c r="M14" s="190"/>
      <c r="N14" s="190"/>
      <c r="O14" s="190"/>
      <c r="P14" s="190"/>
      <c r="Q14" s="190"/>
      <c r="R14" s="190"/>
      <c r="S14" s="190"/>
      <c r="T14" s="190"/>
      <c r="U14" s="190"/>
      <c r="V14" s="167"/>
    </row>
    <row r="15" spans="1:22" x14ac:dyDescent="0.25">
      <c r="A15" s="167"/>
      <c r="B15" s="227"/>
      <c r="C15" s="190"/>
      <c r="D15" s="190"/>
      <c r="E15" s="190"/>
      <c r="F15" s="190"/>
      <c r="G15" s="190"/>
      <c r="H15" s="190"/>
      <c r="I15" s="190"/>
      <c r="J15" s="190"/>
      <c r="K15" s="190"/>
      <c r="L15" s="227"/>
      <c r="M15" s="190"/>
      <c r="N15" s="190"/>
      <c r="O15" s="190"/>
      <c r="P15" s="190"/>
      <c r="Q15" s="190"/>
      <c r="R15" s="190"/>
      <c r="S15" s="190"/>
      <c r="T15" s="190"/>
      <c r="U15" s="190"/>
      <c r="V15" s="167"/>
    </row>
    <row r="16" spans="1:22" x14ac:dyDescent="0.25">
      <c r="A16" s="167"/>
      <c r="B16" s="227"/>
      <c r="C16" s="190"/>
      <c r="D16" s="190"/>
      <c r="E16" s="190"/>
      <c r="F16" s="190"/>
      <c r="G16" s="190"/>
      <c r="H16" s="190"/>
      <c r="I16" s="190"/>
      <c r="J16" s="190"/>
      <c r="K16" s="190"/>
      <c r="L16" s="227"/>
      <c r="M16" s="190"/>
      <c r="N16" s="190"/>
      <c r="O16" s="190"/>
      <c r="P16" s="190"/>
      <c r="Q16" s="190"/>
      <c r="R16" s="190"/>
      <c r="S16" s="190"/>
      <c r="T16" s="190"/>
      <c r="U16" s="190"/>
      <c r="V16" s="167"/>
    </row>
    <row r="17" spans="1:22" x14ac:dyDescent="0.25">
      <c r="A17" s="167"/>
      <c r="B17" s="227"/>
      <c r="C17" s="190"/>
      <c r="D17" s="190"/>
      <c r="E17" s="190"/>
      <c r="F17" s="190"/>
      <c r="G17" s="190"/>
      <c r="H17" s="190"/>
      <c r="I17" s="190"/>
      <c r="J17" s="190"/>
      <c r="K17" s="190"/>
      <c r="L17" s="227"/>
      <c r="M17" s="190"/>
      <c r="N17" s="190"/>
      <c r="O17" s="190"/>
      <c r="P17" s="190"/>
      <c r="Q17" s="190"/>
      <c r="R17" s="190"/>
      <c r="S17" s="190"/>
      <c r="T17" s="190"/>
      <c r="U17" s="190"/>
      <c r="V17" s="167"/>
    </row>
    <row r="18" spans="1:22" x14ac:dyDescent="0.25">
      <c r="A18" s="167"/>
      <c r="B18" s="227"/>
      <c r="C18" s="190"/>
      <c r="D18" s="190"/>
      <c r="E18" s="190"/>
      <c r="F18" s="190"/>
      <c r="G18" s="190"/>
      <c r="H18" s="190"/>
      <c r="I18" s="190"/>
      <c r="J18" s="190"/>
      <c r="K18" s="190"/>
      <c r="L18" s="227"/>
      <c r="M18" s="190"/>
      <c r="N18" s="190"/>
      <c r="O18" s="190"/>
      <c r="P18" s="190"/>
      <c r="Q18" s="190"/>
      <c r="R18" s="190"/>
      <c r="S18" s="190"/>
      <c r="T18" s="190"/>
      <c r="U18" s="190"/>
      <c r="V18" s="167"/>
    </row>
    <row r="19" spans="1:22" x14ac:dyDescent="0.25">
      <c r="A19" s="167"/>
      <c r="B19" s="227"/>
      <c r="C19" s="190"/>
      <c r="D19" s="190"/>
      <c r="E19" s="190"/>
      <c r="F19" s="190"/>
      <c r="G19" s="190"/>
      <c r="H19" s="190"/>
      <c r="I19" s="190"/>
      <c r="J19" s="190"/>
      <c r="K19" s="190"/>
      <c r="L19" s="227"/>
      <c r="M19" s="190"/>
      <c r="N19" s="190"/>
      <c r="O19" s="190"/>
      <c r="P19" s="190"/>
      <c r="Q19" s="190"/>
      <c r="R19" s="190"/>
      <c r="S19" s="190"/>
      <c r="T19" s="190"/>
      <c r="U19" s="190"/>
      <c r="V19" s="167"/>
    </row>
    <row r="20" spans="1:22" x14ac:dyDescent="0.25">
      <c r="A20" s="167"/>
      <c r="B20" s="227"/>
      <c r="C20" s="190"/>
      <c r="D20" s="190"/>
      <c r="E20" s="190"/>
      <c r="F20" s="190"/>
      <c r="G20" s="190"/>
      <c r="H20" s="190"/>
      <c r="I20" s="190"/>
      <c r="J20" s="190"/>
      <c r="K20" s="190"/>
      <c r="L20" s="227"/>
      <c r="M20" s="190"/>
      <c r="N20" s="190"/>
      <c r="O20" s="190"/>
      <c r="P20" s="190"/>
      <c r="Q20" s="190"/>
      <c r="R20" s="190"/>
      <c r="S20" s="190"/>
      <c r="T20" s="190"/>
      <c r="U20" s="190"/>
      <c r="V20" s="167"/>
    </row>
    <row r="21" spans="1:22" x14ac:dyDescent="0.25">
      <c r="A21" s="167"/>
      <c r="B21" s="227"/>
      <c r="C21" s="190"/>
      <c r="D21" s="190"/>
      <c r="E21" s="190"/>
      <c r="F21" s="190"/>
      <c r="G21" s="190"/>
      <c r="H21" s="190"/>
      <c r="I21" s="190"/>
      <c r="J21" s="190"/>
      <c r="K21" s="190"/>
      <c r="L21" s="227"/>
      <c r="M21" s="190"/>
      <c r="N21" s="190"/>
      <c r="O21" s="190"/>
      <c r="P21" s="190"/>
      <c r="Q21" s="190"/>
      <c r="R21" s="190"/>
      <c r="S21" s="190"/>
      <c r="T21" s="190"/>
      <c r="U21" s="190"/>
      <c r="V21" s="167"/>
    </row>
    <row r="22" spans="1:22" x14ac:dyDescent="0.25">
      <c r="A22" s="167"/>
      <c r="B22" s="227"/>
      <c r="C22" s="190"/>
      <c r="D22" s="190"/>
      <c r="E22" s="190"/>
      <c r="F22" s="190"/>
      <c r="G22" s="190"/>
      <c r="H22" s="190"/>
      <c r="I22" s="190"/>
      <c r="J22" s="190"/>
      <c r="K22" s="190"/>
      <c r="L22" s="227"/>
      <c r="M22" s="190"/>
      <c r="N22" s="190"/>
      <c r="O22" s="190"/>
      <c r="P22" s="190"/>
      <c r="Q22" s="190"/>
      <c r="R22" s="190"/>
      <c r="S22" s="190"/>
      <c r="T22" s="190"/>
      <c r="U22" s="190"/>
      <c r="V22" s="167"/>
    </row>
    <row r="23" spans="1:22" x14ac:dyDescent="0.25">
      <c r="A23" s="167"/>
      <c r="B23" s="227"/>
      <c r="C23" s="190"/>
      <c r="D23" s="190"/>
      <c r="E23" s="190"/>
      <c r="F23" s="190"/>
      <c r="G23" s="190"/>
      <c r="H23" s="190"/>
      <c r="I23" s="190"/>
      <c r="J23" s="190"/>
      <c r="K23" s="190"/>
      <c r="L23" s="227"/>
      <c r="M23" s="190"/>
      <c r="N23" s="190"/>
      <c r="O23" s="190"/>
      <c r="P23" s="190"/>
      <c r="Q23" s="190"/>
      <c r="R23" s="190"/>
      <c r="S23" s="190"/>
      <c r="T23" s="190"/>
      <c r="U23" s="190"/>
      <c r="V23" s="167"/>
    </row>
    <row r="24" spans="1:22" x14ac:dyDescent="0.25">
      <c r="A24" s="167"/>
      <c r="B24" s="227"/>
      <c r="C24" s="190"/>
      <c r="D24" s="190"/>
      <c r="E24" s="190"/>
      <c r="F24" s="190"/>
      <c r="G24" s="190"/>
      <c r="H24" s="190"/>
      <c r="I24" s="190"/>
      <c r="J24" s="190"/>
      <c r="K24" s="190"/>
      <c r="L24" s="227"/>
      <c r="M24" s="190"/>
      <c r="N24" s="190"/>
      <c r="O24" s="190"/>
      <c r="P24" s="190"/>
      <c r="Q24" s="190"/>
      <c r="R24" s="190"/>
      <c r="S24" s="190"/>
      <c r="T24" s="190"/>
      <c r="U24" s="190"/>
      <c r="V24" s="167"/>
    </row>
    <row r="25" spans="1:22" x14ac:dyDescent="0.25">
      <c r="A25" s="167"/>
      <c r="B25" s="227"/>
      <c r="C25" s="190"/>
      <c r="D25" s="190"/>
      <c r="E25" s="190"/>
      <c r="F25" s="190"/>
      <c r="G25" s="190"/>
      <c r="H25" s="190"/>
      <c r="I25" s="190"/>
      <c r="J25" s="190"/>
      <c r="K25" s="190"/>
      <c r="L25" s="227"/>
      <c r="M25" s="190"/>
      <c r="N25" s="190"/>
      <c r="O25" s="190"/>
      <c r="P25" s="190"/>
      <c r="Q25" s="190"/>
      <c r="R25" s="190"/>
      <c r="S25" s="190"/>
      <c r="T25" s="190"/>
      <c r="U25" s="190"/>
      <c r="V25" s="167"/>
    </row>
    <row r="26" spans="1:22" x14ac:dyDescent="0.25">
      <c r="A26" s="167"/>
      <c r="B26" s="191"/>
      <c r="C26" s="190"/>
      <c r="D26" s="190"/>
      <c r="E26" s="190"/>
      <c r="F26" s="190"/>
      <c r="G26" s="190"/>
      <c r="H26" s="190"/>
      <c r="I26" s="190"/>
      <c r="J26" s="190"/>
      <c r="K26" s="190"/>
      <c r="L26" s="190"/>
      <c r="M26" s="190"/>
      <c r="N26" s="190"/>
      <c r="O26" s="190"/>
      <c r="P26" s="190"/>
      <c r="Q26" s="190"/>
      <c r="R26" s="190"/>
      <c r="S26" s="190"/>
      <c r="T26" s="190"/>
      <c r="U26" s="190"/>
      <c r="V26" s="167"/>
    </row>
    <row r="27" spans="1:22" ht="15" customHeight="1" x14ac:dyDescent="0.25">
      <c r="A27" s="167"/>
      <c r="B27" s="191"/>
      <c r="C27" s="190"/>
      <c r="D27" s="190"/>
      <c r="E27" s="190"/>
      <c r="F27" s="190"/>
      <c r="G27" s="190"/>
      <c r="H27" s="190"/>
      <c r="I27" s="190"/>
      <c r="J27" s="190"/>
      <c r="K27" s="190"/>
      <c r="L27" s="191"/>
      <c r="M27" s="190"/>
      <c r="N27" s="190"/>
      <c r="O27" s="190"/>
      <c r="P27" s="190"/>
      <c r="Q27" s="190"/>
      <c r="R27" s="190"/>
      <c r="S27" s="190"/>
      <c r="T27" s="190"/>
      <c r="U27" s="190"/>
      <c r="V27" s="167"/>
    </row>
    <row r="28" spans="1:22" ht="15" customHeight="1" x14ac:dyDescent="0.25">
      <c r="A28" s="167"/>
      <c r="B28" s="191"/>
      <c r="C28" s="190"/>
      <c r="D28" s="190"/>
      <c r="E28" s="190"/>
      <c r="F28" s="190"/>
      <c r="G28" s="190"/>
      <c r="H28" s="190"/>
      <c r="I28" s="190"/>
      <c r="J28" s="190"/>
      <c r="K28" s="190"/>
      <c r="L28" s="191"/>
      <c r="M28" s="190"/>
      <c r="N28" s="190"/>
      <c r="O28" s="190"/>
      <c r="P28" s="190"/>
      <c r="Q28" s="190"/>
      <c r="R28" s="190"/>
      <c r="S28" s="190"/>
      <c r="T28" s="190"/>
      <c r="U28" s="190"/>
      <c r="V28" s="167"/>
    </row>
    <row r="29" spans="1:22" ht="15" customHeight="1" x14ac:dyDescent="0.25">
      <c r="A29" s="167"/>
      <c r="B29" s="191"/>
      <c r="C29" s="190"/>
      <c r="D29" s="190"/>
      <c r="E29" s="190"/>
      <c r="F29" s="190"/>
      <c r="G29" s="190"/>
      <c r="H29" s="190"/>
      <c r="I29" s="190"/>
      <c r="J29" s="190"/>
      <c r="K29" s="190"/>
      <c r="L29" s="191"/>
      <c r="M29" s="190"/>
      <c r="N29" s="190"/>
      <c r="O29" s="190"/>
      <c r="P29" s="190"/>
      <c r="Q29" s="190"/>
      <c r="R29" s="190"/>
      <c r="S29" s="190"/>
      <c r="T29" s="190"/>
      <c r="U29" s="190"/>
      <c r="V29" s="167"/>
    </row>
    <row r="30" spans="1:22" ht="15" customHeight="1" x14ac:dyDescent="0.25">
      <c r="A30" s="167"/>
      <c r="B30" s="225" t="s">
        <v>183</v>
      </c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167"/>
    </row>
    <row r="31" spans="1:22" ht="15" customHeight="1" x14ac:dyDescent="0.25">
      <c r="A31" s="167"/>
      <c r="B31" s="225"/>
      <c r="C31" s="225"/>
      <c r="D31" s="225"/>
      <c r="E31" s="225"/>
      <c r="F31" s="225"/>
      <c r="G31" s="225"/>
      <c r="H31" s="225"/>
      <c r="I31" s="225"/>
      <c r="J31" s="225"/>
      <c r="K31" s="225"/>
      <c r="L31" s="225"/>
      <c r="M31" s="225"/>
      <c r="N31" s="225"/>
      <c r="O31" s="225"/>
      <c r="P31" s="225"/>
      <c r="Q31" s="225"/>
      <c r="R31" s="225"/>
      <c r="S31" s="225"/>
      <c r="T31" s="225"/>
      <c r="U31" s="225"/>
      <c r="V31" s="167"/>
    </row>
    <row r="32" spans="1:22" ht="15" customHeight="1" x14ac:dyDescent="0.25">
      <c r="A32" s="167"/>
      <c r="B32" s="225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  <c r="T32" s="225"/>
      <c r="U32" s="225"/>
      <c r="V32" s="167"/>
    </row>
    <row r="33" spans="1:22" ht="15" customHeight="1" x14ac:dyDescent="0.25">
      <c r="A33" s="167"/>
      <c r="B33" s="225"/>
      <c r="C33" s="225"/>
      <c r="D33" s="225"/>
      <c r="E33" s="225"/>
      <c r="F33" s="225"/>
      <c r="G33" s="225"/>
      <c r="H33" s="225"/>
      <c r="I33" s="225"/>
      <c r="J33" s="225"/>
      <c r="K33" s="225"/>
      <c r="L33" s="225"/>
      <c r="M33" s="225"/>
      <c r="N33" s="225"/>
      <c r="O33" s="225"/>
      <c r="P33" s="225"/>
      <c r="Q33" s="225"/>
      <c r="R33" s="225"/>
      <c r="S33" s="225"/>
      <c r="T33" s="225"/>
      <c r="U33" s="225"/>
      <c r="V33" s="167"/>
    </row>
    <row r="34" spans="1:22" x14ac:dyDescent="0.25">
      <c r="A34" s="167"/>
      <c r="B34" s="191"/>
      <c r="C34" s="190"/>
      <c r="D34" s="190"/>
      <c r="E34" s="190"/>
      <c r="F34" s="190"/>
      <c r="G34" s="190"/>
      <c r="H34" s="190"/>
      <c r="I34" s="190"/>
      <c r="J34" s="190"/>
      <c r="K34" s="190"/>
      <c r="L34" s="192"/>
      <c r="M34" s="190"/>
      <c r="N34" s="190"/>
      <c r="O34" s="190"/>
      <c r="P34" s="190"/>
      <c r="Q34" s="190"/>
      <c r="R34" s="190"/>
      <c r="S34" s="190"/>
      <c r="T34" s="190"/>
      <c r="U34" s="190"/>
      <c r="V34" s="167"/>
    </row>
    <row r="35" spans="1:22" ht="15" customHeight="1" x14ac:dyDescent="0.25">
      <c r="A35" s="167"/>
      <c r="B35" s="191"/>
      <c r="C35" s="190"/>
      <c r="D35" s="190"/>
      <c r="E35" s="190"/>
      <c r="F35" s="190"/>
      <c r="G35" s="190"/>
      <c r="H35" s="190"/>
      <c r="I35" s="190"/>
      <c r="J35" s="190"/>
      <c r="K35" s="190"/>
      <c r="L35" s="192"/>
      <c r="M35" s="190"/>
      <c r="N35" s="190"/>
      <c r="O35" s="190"/>
      <c r="P35" s="190"/>
      <c r="Q35" s="190"/>
      <c r="R35" s="190"/>
      <c r="S35" s="190"/>
      <c r="T35" s="190"/>
      <c r="U35" s="190"/>
      <c r="V35" s="167"/>
    </row>
    <row r="36" spans="1:22" x14ac:dyDescent="0.25">
      <c r="A36" s="167"/>
      <c r="B36" s="228" t="s">
        <v>178</v>
      </c>
      <c r="C36" s="190"/>
      <c r="D36" s="190"/>
      <c r="E36" s="190"/>
      <c r="F36" s="190"/>
      <c r="G36" s="190"/>
      <c r="H36" s="190"/>
      <c r="I36" s="190"/>
      <c r="J36" s="190"/>
      <c r="K36" s="190"/>
      <c r="L36" s="228" t="s">
        <v>179</v>
      </c>
      <c r="M36" s="190"/>
      <c r="N36" s="190"/>
      <c r="O36" s="190"/>
      <c r="P36" s="190"/>
      <c r="Q36" s="190"/>
      <c r="R36" s="190"/>
      <c r="S36" s="190"/>
      <c r="T36" s="190"/>
      <c r="U36" s="190"/>
      <c r="V36" s="167"/>
    </row>
    <row r="37" spans="1:22" x14ac:dyDescent="0.25">
      <c r="A37" s="167"/>
      <c r="B37" s="229"/>
      <c r="C37" s="190"/>
      <c r="D37" s="190"/>
      <c r="E37" s="190"/>
      <c r="F37" s="190"/>
      <c r="G37" s="190"/>
      <c r="H37" s="190"/>
      <c r="I37" s="190"/>
      <c r="J37" s="190"/>
      <c r="K37" s="190"/>
      <c r="L37" s="229"/>
      <c r="M37" s="190"/>
      <c r="N37" s="190"/>
      <c r="O37" s="190"/>
      <c r="P37" s="190"/>
      <c r="Q37" s="190"/>
      <c r="R37" s="190"/>
      <c r="S37" s="190"/>
      <c r="T37" s="190"/>
      <c r="U37" s="190"/>
      <c r="V37" s="167"/>
    </row>
    <row r="38" spans="1:22" x14ac:dyDescent="0.25">
      <c r="A38" s="167"/>
      <c r="B38" s="229"/>
      <c r="C38" s="190"/>
      <c r="D38" s="190"/>
      <c r="E38" s="190"/>
      <c r="F38" s="190"/>
      <c r="G38" s="190"/>
      <c r="H38" s="190"/>
      <c r="I38" s="190"/>
      <c r="J38" s="190"/>
      <c r="K38" s="190"/>
      <c r="L38" s="229"/>
      <c r="M38" s="190"/>
      <c r="N38" s="190"/>
      <c r="O38" s="190"/>
      <c r="P38" s="190"/>
      <c r="Q38" s="190"/>
      <c r="R38" s="190"/>
      <c r="S38" s="190"/>
      <c r="T38" s="190"/>
      <c r="U38" s="190"/>
      <c r="V38" s="167"/>
    </row>
    <row r="39" spans="1:22" x14ac:dyDescent="0.25">
      <c r="A39" s="167"/>
      <c r="B39" s="229"/>
      <c r="C39" s="190"/>
      <c r="D39" s="190"/>
      <c r="E39" s="190"/>
      <c r="F39" s="190"/>
      <c r="G39" s="190"/>
      <c r="H39" s="190"/>
      <c r="I39" s="190"/>
      <c r="J39" s="190"/>
      <c r="K39" s="190"/>
      <c r="L39" s="229"/>
      <c r="M39" s="190"/>
      <c r="N39" s="190"/>
      <c r="O39" s="190"/>
      <c r="P39" s="190"/>
      <c r="Q39" s="190"/>
      <c r="R39" s="190"/>
      <c r="S39" s="190"/>
      <c r="T39" s="190"/>
      <c r="U39" s="190"/>
      <c r="V39" s="167"/>
    </row>
    <row r="40" spans="1:22" x14ac:dyDescent="0.25">
      <c r="A40" s="167"/>
      <c r="B40" s="229"/>
      <c r="C40" s="190"/>
      <c r="D40" s="190"/>
      <c r="E40" s="190"/>
      <c r="F40" s="190"/>
      <c r="G40" s="190"/>
      <c r="H40" s="190"/>
      <c r="I40" s="190"/>
      <c r="J40" s="190"/>
      <c r="K40" s="190"/>
      <c r="L40" s="229"/>
      <c r="M40" s="190"/>
      <c r="N40" s="190"/>
      <c r="O40" s="190"/>
      <c r="P40" s="190"/>
      <c r="Q40" s="190"/>
      <c r="R40" s="190"/>
      <c r="S40" s="190"/>
      <c r="T40" s="190"/>
      <c r="U40" s="190"/>
      <c r="V40" s="167"/>
    </row>
    <row r="41" spans="1:22" x14ac:dyDescent="0.25">
      <c r="A41" s="167"/>
      <c r="B41" s="229"/>
      <c r="C41" s="190"/>
      <c r="D41" s="190"/>
      <c r="E41" s="190"/>
      <c r="F41" s="190"/>
      <c r="G41" s="190"/>
      <c r="H41" s="190"/>
      <c r="I41" s="190"/>
      <c r="J41" s="190"/>
      <c r="K41" s="190"/>
      <c r="L41" s="229"/>
      <c r="M41" s="190"/>
      <c r="N41" s="190"/>
      <c r="O41" s="190"/>
      <c r="P41" s="190"/>
      <c r="Q41" s="190"/>
      <c r="R41" s="190"/>
      <c r="S41" s="190"/>
      <c r="T41" s="190"/>
      <c r="U41" s="190"/>
      <c r="V41" s="167"/>
    </row>
    <row r="42" spans="1:22" x14ac:dyDescent="0.25">
      <c r="A42" s="167"/>
      <c r="B42" s="229"/>
      <c r="C42" s="190"/>
      <c r="D42" s="190"/>
      <c r="E42" s="190"/>
      <c r="F42" s="190"/>
      <c r="G42" s="190"/>
      <c r="H42" s="190"/>
      <c r="I42" s="190"/>
      <c r="J42" s="190"/>
      <c r="K42" s="190"/>
      <c r="L42" s="229"/>
      <c r="M42" s="190"/>
      <c r="N42" s="190"/>
      <c r="O42" s="190"/>
      <c r="P42" s="190"/>
      <c r="Q42" s="190"/>
      <c r="R42" s="190"/>
      <c r="S42" s="190"/>
      <c r="T42" s="190"/>
      <c r="U42" s="190"/>
      <c r="V42" s="167"/>
    </row>
    <row r="43" spans="1:22" x14ac:dyDescent="0.25">
      <c r="A43" s="167"/>
      <c r="B43" s="229"/>
      <c r="C43" s="190"/>
      <c r="D43" s="190"/>
      <c r="E43" s="190"/>
      <c r="F43" s="190"/>
      <c r="G43" s="190"/>
      <c r="H43" s="190"/>
      <c r="I43" s="190"/>
      <c r="J43" s="190"/>
      <c r="K43" s="190"/>
      <c r="L43" s="229"/>
      <c r="M43" s="190"/>
      <c r="N43" s="190"/>
      <c r="O43" s="190"/>
      <c r="P43" s="190"/>
      <c r="Q43" s="190"/>
      <c r="R43" s="190"/>
      <c r="S43" s="190"/>
      <c r="T43" s="190"/>
      <c r="U43" s="190"/>
      <c r="V43" s="167"/>
    </row>
    <row r="44" spans="1:22" x14ac:dyDescent="0.25">
      <c r="A44" s="167"/>
      <c r="B44" s="229"/>
      <c r="C44" s="190"/>
      <c r="D44" s="190"/>
      <c r="E44" s="190"/>
      <c r="F44" s="190"/>
      <c r="G44" s="190"/>
      <c r="H44" s="190"/>
      <c r="I44" s="190"/>
      <c r="J44" s="190"/>
      <c r="K44" s="190"/>
      <c r="L44" s="229"/>
      <c r="M44" s="190"/>
      <c r="N44" s="190"/>
      <c r="O44" s="190"/>
      <c r="P44" s="190"/>
      <c r="Q44" s="190"/>
      <c r="R44" s="190"/>
      <c r="S44" s="190"/>
      <c r="T44" s="190"/>
      <c r="U44" s="190"/>
      <c r="V44" s="167"/>
    </row>
    <row r="45" spans="1:22" x14ac:dyDescent="0.25">
      <c r="A45" s="167"/>
      <c r="B45" s="229"/>
      <c r="C45" s="190"/>
      <c r="D45" s="190"/>
      <c r="E45" s="190"/>
      <c r="F45" s="190"/>
      <c r="G45" s="190"/>
      <c r="H45" s="190"/>
      <c r="I45" s="190"/>
      <c r="J45" s="190"/>
      <c r="K45" s="190"/>
      <c r="L45" s="229"/>
      <c r="M45" s="190"/>
      <c r="N45" s="190"/>
      <c r="O45" s="190"/>
      <c r="P45" s="190"/>
      <c r="Q45" s="190"/>
      <c r="R45" s="190"/>
      <c r="S45" s="190"/>
      <c r="T45" s="190"/>
      <c r="U45" s="190"/>
      <c r="V45" s="167"/>
    </row>
    <row r="46" spans="1:22" x14ac:dyDescent="0.25">
      <c r="A46" s="167"/>
      <c r="B46" s="229"/>
      <c r="C46" s="190"/>
      <c r="D46" s="190"/>
      <c r="E46" s="190"/>
      <c r="F46" s="190"/>
      <c r="G46" s="190"/>
      <c r="H46" s="190"/>
      <c r="I46" s="190"/>
      <c r="J46" s="190"/>
      <c r="K46" s="190"/>
      <c r="L46" s="229"/>
      <c r="M46" s="190"/>
      <c r="N46" s="190"/>
      <c r="O46" s="190"/>
      <c r="P46" s="190"/>
      <c r="Q46" s="190"/>
      <c r="R46" s="190"/>
      <c r="S46" s="190"/>
      <c r="T46" s="190"/>
      <c r="U46" s="190"/>
      <c r="V46" s="167"/>
    </row>
    <row r="47" spans="1:22" x14ac:dyDescent="0.25">
      <c r="A47" s="167"/>
      <c r="B47" s="229"/>
      <c r="C47" s="190"/>
      <c r="D47" s="190"/>
      <c r="E47" s="190"/>
      <c r="F47" s="190"/>
      <c r="G47" s="190"/>
      <c r="H47" s="190"/>
      <c r="I47" s="190"/>
      <c r="J47" s="190"/>
      <c r="K47" s="190"/>
      <c r="L47" s="229"/>
      <c r="M47" s="190"/>
      <c r="N47" s="190"/>
      <c r="O47" s="190"/>
      <c r="P47" s="190"/>
      <c r="Q47" s="190"/>
      <c r="R47" s="190"/>
      <c r="S47" s="190"/>
      <c r="T47" s="190"/>
      <c r="U47" s="190"/>
      <c r="V47" s="167"/>
    </row>
    <row r="48" spans="1:22" x14ac:dyDescent="0.25">
      <c r="A48" s="167"/>
      <c r="B48" s="229"/>
      <c r="C48" s="190"/>
      <c r="D48" s="190"/>
      <c r="E48" s="190"/>
      <c r="F48" s="190"/>
      <c r="G48" s="190"/>
      <c r="H48" s="190"/>
      <c r="I48" s="190"/>
      <c r="J48" s="190"/>
      <c r="K48" s="190"/>
      <c r="L48" s="229"/>
      <c r="M48" s="190"/>
      <c r="N48" s="190"/>
      <c r="O48" s="190"/>
      <c r="P48" s="190"/>
      <c r="Q48" s="190"/>
      <c r="R48" s="190"/>
      <c r="S48" s="190"/>
      <c r="T48" s="190"/>
      <c r="U48" s="190"/>
      <c r="V48" s="167"/>
    </row>
    <row r="49" spans="1:22" x14ac:dyDescent="0.25">
      <c r="A49" s="167"/>
      <c r="B49" s="229"/>
      <c r="C49" s="190"/>
      <c r="D49" s="190"/>
      <c r="E49" s="190"/>
      <c r="F49" s="190"/>
      <c r="G49" s="190"/>
      <c r="H49" s="190"/>
      <c r="I49" s="190"/>
      <c r="J49" s="190"/>
      <c r="K49" s="190"/>
      <c r="L49" s="229"/>
      <c r="M49" s="190"/>
      <c r="N49" s="190"/>
      <c r="O49" s="190"/>
      <c r="P49" s="190"/>
      <c r="Q49" s="190"/>
      <c r="R49" s="190"/>
      <c r="S49" s="190"/>
      <c r="T49" s="190"/>
      <c r="U49" s="190"/>
      <c r="V49" s="167"/>
    </row>
    <row r="50" spans="1:22" x14ac:dyDescent="0.25">
      <c r="A50" s="167"/>
      <c r="B50" s="229"/>
      <c r="C50" s="190"/>
      <c r="D50" s="190"/>
      <c r="E50" s="190"/>
      <c r="F50" s="190"/>
      <c r="G50" s="190"/>
      <c r="H50" s="190"/>
      <c r="I50" s="190"/>
      <c r="J50" s="190"/>
      <c r="K50" s="190"/>
      <c r="L50" s="229"/>
      <c r="M50" s="190"/>
      <c r="N50" s="190"/>
      <c r="O50" s="190"/>
      <c r="P50" s="190"/>
      <c r="Q50" s="190"/>
      <c r="R50" s="190"/>
      <c r="S50" s="190"/>
      <c r="T50" s="190"/>
      <c r="U50" s="190"/>
      <c r="V50" s="167"/>
    </row>
    <row r="51" spans="1:22" x14ac:dyDescent="0.25">
      <c r="A51" s="167"/>
      <c r="B51" s="229"/>
      <c r="C51" s="190"/>
      <c r="D51" s="190"/>
      <c r="E51" s="190"/>
      <c r="F51" s="190"/>
      <c r="G51" s="190"/>
      <c r="H51" s="190"/>
      <c r="I51" s="190"/>
      <c r="J51" s="190"/>
      <c r="K51" s="190"/>
      <c r="L51" s="229"/>
      <c r="M51" s="190"/>
      <c r="N51" s="190"/>
      <c r="O51" s="190"/>
      <c r="P51" s="190"/>
      <c r="Q51" s="190"/>
      <c r="R51" s="190"/>
      <c r="S51" s="190"/>
      <c r="T51" s="190"/>
      <c r="U51" s="190"/>
      <c r="V51" s="167"/>
    </row>
    <row r="52" spans="1:22" x14ac:dyDescent="0.25">
      <c r="A52" s="167"/>
      <c r="B52" s="229"/>
      <c r="C52" s="190"/>
      <c r="D52" s="190"/>
      <c r="E52" s="190"/>
      <c r="F52" s="190"/>
      <c r="G52" s="190"/>
      <c r="H52" s="190"/>
      <c r="I52" s="190"/>
      <c r="J52" s="190"/>
      <c r="K52" s="190"/>
      <c r="L52" s="229"/>
      <c r="M52" s="190"/>
      <c r="N52" s="190"/>
      <c r="O52" s="190"/>
      <c r="P52" s="190"/>
      <c r="Q52" s="190"/>
      <c r="R52" s="190"/>
      <c r="S52" s="190"/>
      <c r="T52" s="190"/>
      <c r="U52" s="190"/>
      <c r="V52" s="167"/>
    </row>
    <row r="53" spans="1:22" x14ac:dyDescent="0.25">
      <c r="A53" s="167"/>
      <c r="B53" s="191"/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67"/>
    </row>
    <row r="54" spans="1:22" x14ac:dyDescent="0.25">
      <c r="A54" s="167"/>
      <c r="B54" s="191"/>
      <c r="C54" s="190"/>
      <c r="D54" s="190"/>
      <c r="E54" s="190"/>
      <c r="F54" s="190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67"/>
    </row>
    <row r="55" spans="1:22" x14ac:dyDescent="0.25">
      <c r="A55" s="167"/>
      <c r="B55" s="167"/>
      <c r="C55" s="167"/>
      <c r="D55" s="167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</row>
  </sheetData>
  <mergeCells count="6">
    <mergeCell ref="B1:U5"/>
    <mergeCell ref="B30:U33"/>
    <mergeCell ref="L9:L25"/>
    <mergeCell ref="B36:B52"/>
    <mergeCell ref="L36:L52"/>
    <mergeCell ref="B9:B25"/>
  </mergeCells>
  <pageMargins left="0" right="0" top="0" bottom="0" header="0" footer="0"/>
  <pageSetup scale="69" orientation="landscape" horizontalDpi="4294967292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T82"/>
  <sheetViews>
    <sheetView topLeftCell="A25" zoomScale="55" zoomScaleNormal="55" zoomScaleSheetLayoutView="50" workbookViewId="0">
      <selection activeCell="M2" sqref="M2"/>
    </sheetView>
  </sheetViews>
  <sheetFormatPr defaultRowHeight="15" x14ac:dyDescent="0.25"/>
  <cols>
    <col min="2" max="2" width="7.7109375" customWidth="1"/>
    <col min="13" max="13" width="13.140625" customWidth="1"/>
    <col min="14" max="14" width="9.140625" customWidth="1"/>
  </cols>
  <sheetData>
    <row r="1" spans="1:46" x14ac:dyDescent="0.25">
      <c r="A1" s="167"/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46" x14ac:dyDescent="0.25">
      <c r="A2" s="204"/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167"/>
    </row>
    <row r="3" spans="1:46" x14ac:dyDescent="0.25">
      <c r="A3" s="204"/>
      <c r="B3" s="204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167"/>
      <c r="AM3" s="167"/>
      <c r="AN3" s="167"/>
      <c r="AO3" s="167"/>
      <c r="AP3" s="167"/>
      <c r="AQ3" s="167"/>
      <c r="AR3" s="167"/>
      <c r="AS3" s="167"/>
      <c r="AT3" s="167"/>
    </row>
    <row r="4" spans="1:46" x14ac:dyDescent="0.25">
      <c r="A4" s="204"/>
      <c r="B4" s="204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167"/>
      <c r="AM4" s="167"/>
      <c r="AN4" s="167"/>
      <c r="AO4" s="167"/>
      <c r="AP4" s="167"/>
      <c r="AQ4" s="167"/>
      <c r="AR4" s="167"/>
      <c r="AS4" s="167"/>
      <c r="AT4" s="167"/>
    </row>
    <row r="5" spans="1:46" ht="15" customHeight="1" x14ac:dyDescent="0.25">
      <c r="A5" s="230" t="s">
        <v>130</v>
      </c>
      <c r="B5" s="230"/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167"/>
      <c r="AM5" s="167"/>
      <c r="AN5" s="167"/>
      <c r="AO5" s="167"/>
      <c r="AP5" s="167"/>
      <c r="AQ5" s="167"/>
      <c r="AR5" s="167"/>
      <c r="AS5" s="167"/>
      <c r="AT5" s="167"/>
    </row>
    <row r="6" spans="1:46" x14ac:dyDescent="0.25">
      <c r="A6" s="230"/>
      <c r="B6" s="230"/>
      <c r="C6" s="202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  <c r="O6" s="202"/>
      <c r="P6" s="202"/>
      <c r="Q6" s="202"/>
      <c r="R6" s="202"/>
      <c r="S6" s="202"/>
      <c r="T6" s="202"/>
      <c r="U6" s="202"/>
      <c r="V6" s="202"/>
      <c r="W6" s="202"/>
      <c r="X6" s="202"/>
      <c r="Y6" s="202"/>
      <c r="Z6" s="202"/>
      <c r="AA6" s="202"/>
      <c r="AB6" s="202"/>
      <c r="AC6" s="202"/>
      <c r="AD6" s="202"/>
      <c r="AE6" s="202"/>
      <c r="AF6" s="202"/>
      <c r="AG6" s="202"/>
      <c r="AH6" s="202"/>
      <c r="AI6" s="202"/>
      <c r="AJ6" s="202"/>
      <c r="AK6" s="202"/>
      <c r="AL6" s="167"/>
      <c r="AM6" s="167"/>
      <c r="AN6" s="167"/>
      <c r="AO6" s="167"/>
      <c r="AP6" s="167"/>
      <c r="AQ6" s="167"/>
      <c r="AR6" s="167"/>
      <c r="AS6" s="167"/>
      <c r="AT6" s="167"/>
    </row>
    <row r="7" spans="1:46" x14ac:dyDescent="0.25">
      <c r="A7" s="230"/>
      <c r="B7" s="230"/>
      <c r="C7" s="20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167"/>
      <c r="AM7" s="167"/>
      <c r="AN7" s="167"/>
      <c r="AO7" s="167"/>
      <c r="AP7" s="167"/>
      <c r="AQ7" s="167"/>
      <c r="AR7" s="167"/>
      <c r="AS7" s="167"/>
      <c r="AT7" s="167"/>
    </row>
    <row r="8" spans="1:46" x14ac:dyDescent="0.25">
      <c r="A8" s="230"/>
      <c r="B8" s="230"/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2"/>
      <c r="N8" s="202"/>
      <c r="O8" s="202"/>
      <c r="P8" s="202"/>
      <c r="Q8" s="202"/>
      <c r="R8" s="202"/>
      <c r="S8" s="202"/>
      <c r="T8" s="202"/>
      <c r="U8" s="202"/>
      <c r="V8" s="202"/>
      <c r="W8" s="202"/>
      <c r="X8" s="202"/>
      <c r="Y8" s="202"/>
      <c r="Z8" s="202"/>
      <c r="AA8" s="202"/>
      <c r="AB8" s="202"/>
      <c r="AC8" s="202"/>
      <c r="AD8" s="202"/>
      <c r="AE8" s="202"/>
      <c r="AF8" s="202"/>
      <c r="AG8" s="202"/>
      <c r="AH8" s="202"/>
      <c r="AI8" s="202"/>
      <c r="AJ8" s="202"/>
      <c r="AK8" s="202"/>
      <c r="AL8" s="167"/>
      <c r="AM8" s="167"/>
      <c r="AN8" s="167"/>
      <c r="AO8" s="167"/>
      <c r="AP8" s="167"/>
      <c r="AQ8" s="167"/>
      <c r="AR8" s="167"/>
      <c r="AS8" s="167"/>
      <c r="AT8" s="167"/>
    </row>
    <row r="9" spans="1:46" x14ac:dyDescent="0.25">
      <c r="A9" s="230"/>
      <c r="B9" s="230"/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167"/>
      <c r="AM9" s="167"/>
      <c r="AN9" s="167"/>
      <c r="AO9" s="167"/>
      <c r="AP9" s="167"/>
      <c r="AQ9" s="167"/>
      <c r="AR9" s="167"/>
      <c r="AS9" s="167"/>
      <c r="AT9" s="167"/>
    </row>
    <row r="10" spans="1:46" x14ac:dyDescent="0.25">
      <c r="A10" s="230"/>
      <c r="B10" s="230"/>
      <c r="C10" s="202"/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2"/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167"/>
      <c r="AM10" s="167"/>
      <c r="AN10" s="167"/>
      <c r="AO10" s="167"/>
      <c r="AP10" s="167"/>
      <c r="AQ10" s="167"/>
      <c r="AR10" s="167"/>
      <c r="AS10" s="167"/>
      <c r="AT10" s="167"/>
    </row>
    <row r="11" spans="1:46" x14ac:dyDescent="0.25">
      <c r="A11" s="230"/>
      <c r="B11" s="230"/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167"/>
      <c r="AM11" s="167"/>
      <c r="AN11" s="167"/>
      <c r="AO11" s="167"/>
      <c r="AP11" s="167"/>
      <c r="AQ11" s="167"/>
      <c r="AR11" s="167"/>
      <c r="AS11" s="167"/>
      <c r="AT11" s="167"/>
    </row>
    <row r="12" spans="1:46" x14ac:dyDescent="0.25">
      <c r="A12" s="230"/>
      <c r="B12" s="230"/>
      <c r="C12" s="202"/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167"/>
      <c r="AM12" s="167"/>
      <c r="AN12" s="167"/>
      <c r="AO12" s="167"/>
      <c r="AP12" s="167"/>
      <c r="AQ12" s="167"/>
      <c r="AR12" s="167"/>
      <c r="AS12" s="167"/>
      <c r="AT12" s="167"/>
    </row>
    <row r="13" spans="1:46" x14ac:dyDescent="0.25">
      <c r="A13" s="230"/>
      <c r="B13" s="230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167"/>
      <c r="AM13" s="167"/>
      <c r="AN13" s="167"/>
      <c r="AO13" s="167"/>
      <c r="AP13" s="167"/>
      <c r="AQ13" s="167"/>
      <c r="AR13" s="167"/>
      <c r="AS13" s="167"/>
      <c r="AT13" s="167"/>
    </row>
    <row r="14" spans="1:46" x14ac:dyDescent="0.25">
      <c r="A14" s="230"/>
      <c r="B14" s="230"/>
      <c r="C14" s="202"/>
      <c r="D14" s="202"/>
      <c r="E14" s="202"/>
      <c r="F14" s="202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167"/>
      <c r="AM14" s="167"/>
      <c r="AN14" s="167"/>
      <c r="AO14" s="167"/>
      <c r="AP14" s="167"/>
      <c r="AQ14" s="167"/>
      <c r="AR14" s="167"/>
      <c r="AS14" s="167"/>
      <c r="AT14" s="167"/>
    </row>
    <row r="15" spans="1:46" x14ac:dyDescent="0.25">
      <c r="A15" s="230"/>
      <c r="B15" s="230"/>
      <c r="C15" s="202"/>
      <c r="D15" s="202"/>
      <c r="E15" s="202"/>
      <c r="F15" s="202"/>
      <c r="G15" s="202"/>
      <c r="H15" s="202"/>
      <c r="I15" s="202"/>
      <c r="J15" s="202"/>
      <c r="K15" s="202"/>
      <c r="L15" s="202"/>
      <c r="M15" s="202"/>
      <c r="N15" s="202"/>
      <c r="O15" s="202"/>
      <c r="P15" s="202"/>
      <c r="Q15" s="202"/>
      <c r="R15" s="202"/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167"/>
      <c r="AM15" s="167"/>
      <c r="AN15" s="167"/>
      <c r="AO15" s="167"/>
      <c r="AP15" s="167"/>
      <c r="AQ15" s="167"/>
      <c r="AR15" s="167"/>
      <c r="AS15" s="167"/>
      <c r="AT15" s="167"/>
    </row>
    <row r="16" spans="1:46" x14ac:dyDescent="0.25">
      <c r="A16" s="230"/>
      <c r="B16" s="230"/>
      <c r="C16" s="202"/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2"/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167"/>
      <c r="AM16" s="167"/>
      <c r="AN16" s="167"/>
      <c r="AO16" s="167"/>
      <c r="AP16" s="167"/>
      <c r="AQ16" s="167"/>
      <c r="AR16" s="167"/>
      <c r="AS16" s="167"/>
      <c r="AT16" s="167"/>
    </row>
    <row r="17" spans="1:46" x14ac:dyDescent="0.25">
      <c r="A17" s="230"/>
      <c r="B17" s="230"/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  <c r="R17" s="202"/>
      <c r="S17" s="202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167"/>
      <c r="AM17" s="167"/>
      <c r="AN17" s="167"/>
      <c r="AO17" s="167"/>
      <c r="AP17" s="167"/>
      <c r="AQ17" s="167"/>
      <c r="AR17" s="167"/>
      <c r="AS17" s="167"/>
      <c r="AT17" s="167"/>
    </row>
    <row r="18" spans="1:46" x14ac:dyDescent="0.25">
      <c r="A18" s="230"/>
      <c r="B18" s="230"/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167"/>
      <c r="AM18" s="167"/>
      <c r="AN18" s="167"/>
      <c r="AO18" s="167"/>
      <c r="AP18" s="167"/>
      <c r="AQ18" s="167"/>
      <c r="AR18" s="167"/>
      <c r="AS18" s="167"/>
      <c r="AT18" s="167"/>
    </row>
    <row r="19" spans="1:46" x14ac:dyDescent="0.25">
      <c r="A19" s="230"/>
      <c r="B19" s="230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2"/>
      <c r="P19" s="202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167"/>
      <c r="AM19" s="167"/>
      <c r="AN19" s="167"/>
      <c r="AO19" s="167"/>
      <c r="AP19" s="167"/>
      <c r="AQ19" s="167"/>
      <c r="AR19" s="167"/>
      <c r="AS19" s="167"/>
      <c r="AT19" s="167"/>
    </row>
    <row r="20" spans="1:46" x14ac:dyDescent="0.25">
      <c r="A20" s="230"/>
      <c r="B20" s="230"/>
      <c r="C20" s="20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167"/>
      <c r="AM20" s="167"/>
      <c r="AN20" s="167"/>
      <c r="AO20" s="167"/>
      <c r="AP20" s="167"/>
      <c r="AQ20" s="167"/>
      <c r="AR20" s="167"/>
      <c r="AS20" s="167"/>
      <c r="AT20" s="167"/>
    </row>
    <row r="21" spans="1:46" x14ac:dyDescent="0.25">
      <c r="A21" s="230"/>
      <c r="B21" s="230"/>
      <c r="C21" s="20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167"/>
      <c r="AM21" s="167"/>
      <c r="AN21" s="167"/>
      <c r="AO21" s="167"/>
      <c r="AP21" s="167"/>
      <c r="AQ21" s="167"/>
      <c r="AR21" s="167"/>
      <c r="AS21" s="167"/>
      <c r="AT21" s="167"/>
    </row>
    <row r="22" spans="1:46" ht="15" customHeight="1" x14ac:dyDescent="0.25">
      <c r="A22" s="230" t="s">
        <v>186</v>
      </c>
      <c r="B22" s="230"/>
      <c r="C22" s="20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167"/>
      <c r="AM22" s="167"/>
      <c r="AN22" s="167"/>
      <c r="AO22" s="167"/>
      <c r="AP22" s="167"/>
      <c r="AQ22" s="167"/>
      <c r="AR22" s="167"/>
      <c r="AS22" s="167"/>
      <c r="AT22" s="167"/>
    </row>
    <row r="23" spans="1:46" x14ac:dyDescent="0.25">
      <c r="A23" s="230"/>
      <c r="B23" s="230"/>
      <c r="C23" s="20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167"/>
      <c r="AM23" s="167"/>
      <c r="AN23" s="167"/>
      <c r="AO23" s="167"/>
      <c r="AP23" s="167"/>
      <c r="AQ23" s="167"/>
      <c r="AR23" s="167"/>
      <c r="AS23" s="167"/>
      <c r="AT23" s="167"/>
    </row>
    <row r="24" spans="1:46" ht="15" customHeight="1" x14ac:dyDescent="0.25">
      <c r="A24" s="230"/>
      <c r="B24" s="230"/>
      <c r="C24" s="20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167"/>
      <c r="AM24" s="167"/>
      <c r="AN24" s="167"/>
      <c r="AO24" s="167"/>
      <c r="AP24" s="167"/>
      <c r="AQ24" s="167"/>
      <c r="AR24" s="167"/>
      <c r="AS24" s="167"/>
      <c r="AT24" s="167"/>
    </row>
    <row r="25" spans="1:46" x14ac:dyDescent="0.25">
      <c r="A25" s="230"/>
      <c r="B25" s="230"/>
      <c r="C25" s="20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167"/>
      <c r="AM25" s="167"/>
      <c r="AN25" s="167"/>
      <c r="AO25" s="167"/>
      <c r="AP25" s="167"/>
      <c r="AQ25" s="167"/>
      <c r="AR25" s="167"/>
      <c r="AS25" s="167"/>
      <c r="AT25" s="167"/>
    </row>
    <row r="26" spans="1:46" ht="15" customHeight="1" x14ac:dyDescent="0.25">
      <c r="A26" s="230"/>
      <c r="B26" s="230"/>
      <c r="C26" s="20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167"/>
      <c r="AM26" s="167"/>
      <c r="AN26" s="167"/>
      <c r="AO26" s="167"/>
      <c r="AP26" s="167"/>
      <c r="AQ26" s="167"/>
      <c r="AR26" s="167"/>
      <c r="AS26" s="167"/>
      <c r="AT26" s="167"/>
    </row>
    <row r="27" spans="1:46" x14ac:dyDescent="0.25">
      <c r="A27" s="230"/>
      <c r="B27" s="230"/>
      <c r="C27" s="20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167"/>
      <c r="AM27" s="167"/>
      <c r="AN27" s="167"/>
      <c r="AO27" s="167"/>
      <c r="AP27" s="167"/>
      <c r="AQ27" s="167"/>
      <c r="AR27" s="167"/>
      <c r="AS27" s="167"/>
      <c r="AT27" s="167"/>
    </row>
    <row r="28" spans="1:46" x14ac:dyDescent="0.25">
      <c r="A28" s="230"/>
      <c r="B28" s="230"/>
      <c r="C28" s="202"/>
      <c r="D28" s="202"/>
      <c r="E28" s="202"/>
      <c r="F28" s="202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167"/>
      <c r="AM28" s="167"/>
      <c r="AN28" s="167"/>
      <c r="AO28" s="167"/>
      <c r="AP28" s="167"/>
      <c r="AQ28" s="167"/>
      <c r="AR28" s="167"/>
      <c r="AS28" s="167"/>
      <c r="AT28" s="167"/>
    </row>
    <row r="29" spans="1:46" x14ac:dyDescent="0.25">
      <c r="A29" s="230"/>
      <c r="B29" s="230"/>
      <c r="C29" s="202"/>
      <c r="D29" s="202"/>
      <c r="E29" s="202"/>
      <c r="F29" s="202"/>
      <c r="G29" s="202"/>
      <c r="H29" s="202"/>
      <c r="I29" s="202"/>
      <c r="J29" s="202"/>
      <c r="K29" s="202"/>
      <c r="L29" s="202"/>
      <c r="M29" s="202"/>
      <c r="N29" s="202"/>
      <c r="O29" s="202"/>
      <c r="P29" s="202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167"/>
      <c r="AM29" s="167"/>
      <c r="AN29" s="167"/>
      <c r="AO29" s="167"/>
      <c r="AP29" s="167"/>
      <c r="AQ29" s="167"/>
      <c r="AR29" s="167"/>
      <c r="AS29" s="167"/>
      <c r="AT29" s="167"/>
    </row>
    <row r="30" spans="1:46" x14ac:dyDescent="0.25">
      <c r="A30" s="230"/>
      <c r="B30" s="230"/>
      <c r="C30" s="202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167"/>
      <c r="AM30" s="167"/>
      <c r="AN30" s="167"/>
      <c r="AO30" s="167"/>
      <c r="AP30" s="167"/>
      <c r="AQ30" s="167"/>
      <c r="AR30" s="167"/>
      <c r="AS30" s="167"/>
      <c r="AT30" s="167"/>
    </row>
    <row r="31" spans="1:46" x14ac:dyDescent="0.25">
      <c r="A31" s="230"/>
      <c r="B31" s="230"/>
      <c r="C31" s="202"/>
      <c r="D31" s="202"/>
      <c r="E31" s="202"/>
      <c r="F31" s="202"/>
      <c r="G31" s="202"/>
      <c r="H31" s="202"/>
      <c r="I31" s="202"/>
      <c r="J31" s="202"/>
      <c r="K31" s="202"/>
      <c r="L31" s="202"/>
      <c r="M31" s="202"/>
      <c r="N31" s="202"/>
      <c r="O31" s="202"/>
      <c r="P31" s="202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167"/>
      <c r="AM31" s="167"/>
      <c r="AN31" s="167"/>
      <c r="AO31" s="167"/>
      <c r="AP31" s="167"/>
      <c r="AQ31" s="167"/>
      <c r="AR31" s="167"/>
      <c r="AS31" s="167"/>
      <c r="AT31" s="167"/>
    </row>
    <row r="32" spans="1:46" x14ac:dyDescent="0.25">
      <c r="A32" s="230"/>
      <c r="B32" s="230"/>
      <c r="C32" s="202"/>
      <c r="D32" s="202"/>
      <c r="E32" s="202"/>
      <c r="F32" s="202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167"/>
      <c r="AM32" s="167"/>
      <c r="AN32" s="167"/>
      <c r="AO32" s="167"/>
      <c r="AP32" s="167"/>
      <c r="AQ32" s="167"/>
      <c r="AR32" s="167"/>
      <c r="AS32" s="167"/>
      <c r="AT32" s="167"/>
    </row>
    <row r="33" spans="1:46" x14ac:dyDescent="0.25">
      <c r="A33" s="230"/>
      <c r="B33" s="230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167"/>
      <c r="AM33" s="167"/>
      <c r="AN33" s="167"/>
      <c r="AO33" s="167"/>
      <c r="AP33" s="167"/>
      <c r="AQ33" s="167"/>
      <c r="AR33" s="167"/>
      <c r="AS33" s="167"/>
      <c r="AT33" s="167"/>
    </row>
    <row r="34" spans="1:46" x14ac:dyDescent="0.25">
      <c r="A34" s="230"/>
      <c r="B34" s="230"/>
      <c r="C34" s="202"/>
      <c r="D34" s="202"/>
      <c r="E34" s="202"/>
      <c r="F34" s="202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167"/>
      <c r="AM34" s="167"/>
      <c r="AN34" s="167"/>
      <c r="AO34" s="167"/>
      <c r="AP34" s="167"/>
      <c r="AQ34" s="167"/>
      <c r="AR34" s="167"/>
      <c r="AS34" s="167"/>
      <c r="AT34" s="167"/>
    </row>
    <row r="35" spans="1:46" x14ac:dyDescent="0.25">
      <c r="A35" s="230"/>
      <c r="B35" s="230"/>
      <c r="C35" s="202"/>
      <c r="D35" s="202"/>
      <c r="E35" s="202"/>
      <c r="F35" s="202"/>
      <c r="G35" s="202"/>
      <c r="H35" s="202"/>
      <c r="I35" s="202"/>
      <c r="J35" s="202"/>
      <c r="K35" s="202"/>
      <c r="L35" s="202"/>
      <c r="M35" s="202"/>
      <c r="N35" s="202"/>
      <c r="O35" s="202"/>
      <c r="P35" s="202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167"/>
      <c r="AM35" s="167"/>
      <c r="AN35" s="167"/>
      <c r="AO35" s="167"/>
      <c r="AP35" s="167"/>
      <c r="AQ35" s="167"/>
      <c r="AR35" s="167"/>
      <c r="AS35" s="167"/>
      <c r="AT35" s="167"/>
    </row>
    <row r="36" spans="1:46" x14ac:dyDescent="0.25">
      <c r="A36" s="230"/>
      <c r="B36" s="230"/>
      <c r="C36" s="202"/>
      <c r="D36" s="202"/>
      <c r="E36" s="202"/>
      <c r="F36" s="202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167"/>
      <c r="AM36" s="167"/>
      <c r="AN36" s="167"/>
      <c r="AO36" s="167"/>
      <c r="AP36" s="167"/>
      <c r="AQ36" s="167"/>
      <c r="AR36" s="167"/>
      <c r="AS36" s="167"/>
      <c r="AT36" s="167"/>
    </row>
    <row r="37" spans="1:46" x14ac:dyDescent="0.25">
      <c r="A37" s="230"/>
      <c r="B37" s="230"/>
      <c r="C37" s="202"/>
      <c r="D37" s="202"/>
      <c r="E37" s="202"/>
      <c r="F37" s="202"/>
      <c r="G37" s="202"/>
      <c r="H37" s="202"/>
      <c r="I37" s="202"/>
      <c r="J37" s="202"/>
      <c r="K37" s="202"/>
      <c r="L37" s="202"/>
      <c r="M37" s="202"/>
      <c r="N37" s="202"/>
      <c r="O37" s="202"/>
      <c r="P37" s="202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167"/>
      <c r="AM37" s="167"/>
      <c r="AN37" s="167"/>
      <c r="AO37" s="167"/>
      <c r="AP37" s="167"/>
      <c r="AQ37" s="167"/>
      <c r="AR37" s="167"/>
      <c r="AS37" s="167"/>
      <c r="AT37" s="167"/>
    </row>
    <row r="38" spans="1:46" x14ac:dyDescent="0.25">
      <c r="A38" s="230"/>
      <c r="B38" s="230"/>
      <c r="C38" s="202"/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167"/>
      <c r="AM38" s="167"/>
      <c r="AN38" s="167"/>
      <c r="AO38" s="167"/>
      <c r="AP38" s="167"/>
      <c r="AQ38" s="167"/>
      <c r="AR38" s="167"/>
      <c r="AS38" s="167"/>
      <c r="AT38" s="167"/>
    </row>
    <row r="39" spans="1:46" x14ac:dyDescent="0.25">
      <c r="A39" s="230"/>
      <c r="B39" s="230"/>
      <c r="C39" s="202"/>
      <c r="D39" s="202"/>
      <c r="E39" s="202"/>
      <c r="F39" s="202"/>
      <c r="G39" s="202"/>
      <c r="H39" s="202"/>
      <c r="I39" s="202"/>
      <c r="J39" s="202"/>
      <c r="K39" s="202"/>
      <c r="L39" s="202"/>
      <c r="M39" s="202"/>
      <c r="N39" s="202"/>
      <c r="O39" s="202"/>
      <c r="P39" s="202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167"/>
      <c r="AM39" s="167"/>
      <c r="AN39" s="167"/>
      <c r="AO39" s="167"/>
      <c r="AP39" s="167"/>
      <c r="AQ39" s="167"/>
      <c r="AR39" s="167"/>
      <c r="AS39" s="167"/>
      <c r="AT39" s="167"/>
    </row>
    <row r="40" spans="1:46" x14ac:dyDescent="0.25">
      <c r="A40" s="230"/>
      <c r="B40" s="230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167"/>
      <c r="AM40" s="167"/>
      <c r="AN40" s="167"/>
      <c r="AO40" s="167"/>
      <c r="AP40" s="167"/>
      <c r="AQ40" s="167"/>
      <c r="AR40" s="167"/>
      <c r="AS40" s="167"/>
      <c r="AT40" s="167"/>
    </row>
    <row r="41" spans="1:46" x14ac:dyDescent="0.25">
      <c r="A41" s="206"/>
      <c r="B41" s="207"/>
      <c r="C41" s="202"/>
      <c r="D41" s="202"/>
      <c r="E41" s="202"/>
      <c r="F41" s="202"/>
      <c r="G41" s="202"/>
      <c r="H41" s="202"/>
      <c r="I41" s="202"/>
      <c r="J41" s="202"/>
      <c r="K41" s="202"/>
      <c r="L41" s="202"/>
      <c r="M41" s="202"/>
      <c r="N41" s="202"/>
      <c r="O41" s="202"/>
      <c r="P41" s="202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167"/>
      <c r="AM41" s="167"/>
      <c r="AN41" s="167"/>
      <c r="AO41" s="167"/>
      <c r="AP41" s="167"/>
      <c r="AQ41" s="167"/>
      <c r="AR41" s="167"/>
      <c r="AS41" s="167"/>
      <c r="AT41" s="167"/>
    </row>
    <row r="42" spans="1:46" ht="15" customHeight="1" x14ac:dyDescent="0.25">
      <c r="A42" s="230" t="s">
        <v>173</v>
      </c>
      <c r="B42" s="230"/>
      <c r="C42" s="202"/>
      <c r="D42" s="202"/>
      <c r="E42" s="202"/>
      <c r="F42" s="202"/>
      <c r="G42" s="202"/>
      <c r="H42" s="202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167"/>
      <c r="AM42" s="167"/>
      <c r="AN42" s="167"/>
      <c r="AO42" s="167"/>
      <c r="AP42" s="167"/>
      <c r="AQ42" s="167"/>
      <c r="AR42" s="167"/>
      <c r="AS42" s="167"/>
      <c r="AT42" s="167"/>
    </row>
    <row r="43" spans="1:46" x14ac:dyDescent="0.25">
      <c r="A43" s="230"/>
      <c r="B43" s="230"/>
      <c r="C43" s="202"/>
      <c r="D43" s="202"/>
      <c r="E43" s="202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167"/>
      <c r="AM43" s="167"/>
      <c r="AN43" s="167"/>
      <c r="AO43" s="167"/>
      <c r="AP43" s="167"/>
      <c r="AQ43" s="167"/>
      <c r="AR43" s="167"/>
      <c r="AS43" s="167"/>
      <c r="AT43" s="167"/>
    </row>
    <row r="44" spans="1:46" x14ac:dyDescent="0.25">
      <c r="A44" s="230"/>
      <c r="B44" s="230"/>
      <c r="C44" s="202"/>
      <c r="D44" s="202"/>
      <c r="E44" s="202"/>
      <c r="F44" s="202"/>
      <c r="G44" s="202"/>
      <c r="H44" s="202"/>
      <c r="I44" s="202"/>
      <c r="J44" s="202"/>
      <c r="K44" s="202"/>
      <c r="L44" s="202"/>
      <c r="M44" s="202"/>
      <c r="N44" s="202"/>
      <c r="O44" s="202"/>
      <c r="P44" s="202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167"/>
      <c r="AM44" s="167"/>
      <c r="AN44" s="167"/>
      <c r="AO44" s="167"/>
      <c r="AP44" s="167"/>
      <c r="AQ44" s="167"/>
      <c r="AR44" s="167"/>
      <c r="AS44" s="167"/>
      <c r="AT44" s="167"/>
    </row>
    <row r="45" spans="1:46" x14ac:dyDescent="0.25">
      <c r="A45" s="230"/>
      <c r="B45" s="230"/>
      <c r="C45" s="202"/>
      <c r="D45" s="202"/>
      <c r="E45" s="202"/>
      <c r="F45" s="202"/>
      <c r="G45" s="202"/>
      <c r="H45" s="202"/>
      <c r="I45" s="202"/>
      <c r="J45" s="202"/>
      <c r="K45" s="202"/>
      <c r="L45" s="202"/>
      <c r="M45" s="202"/>
      <c r="N45" s="202"/>
      <c r="O45" s="202"/>
      <c r="P45" s="202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167"/>
      <c r="AM45" s="167"/>
      <c r="AN45" s="167"/>
      <c r="AO45" s="167"/>
      <c r="AP45" s="167"/>
      <c r="AQ45" s="167"/>
      <c r="AR45" s="167"/>
      <c r="AS45" s="167"/>
      <c r="AT45" s="167"/>
    </row>
    <row r="46" spans="1:46" x14ac:dyDescent="0.25">
      <c r="A46" s="230"/>
      <c r="B46" s="230"/>
      <c r="C46" s="202"/>
      <c r="D46" s="202"/>
      <c r="E46" s="202"/>
      <c r="F46" s="202"/>
      <c r="G46" s="202"/>
      <c r="H46" s="20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167"/>
      <c r="AM46" s="167"/>
      <c r="AN46" s="167"/>
      <c r="AO46" s="167"/>
      <c r="AP46" s="167"/>
      <c r="AQ46" s="167"/>
      <c r="AR46" s="167"/>
      <c r="AS46" s="167"/>
      <c r="AT46" s="167"/>
    </row>
    <row r="47" spans="1:46" ht="15" customHeight="1" x14ac:dyDescent="0.25">
      <c r="A47" s="230"/>
      <c r="B47" s="230"/>
      <c r="C47" s="202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167"/>
      <c r="AM47" s="167"/>
      <c r="AN47" s="167"/>
      <c r="AO47" s="167"/>
      <c r="AP47" s="167"/>
      <c r="AQ47" s="167"/>
      <c r="AR47" s="167"/>
      <c r="AS47" s="167"/>
      <c r="AT47" s="167"/>
    </row>
    <row r="48" spans="1:46" x14ac:dyDescent="0.25">
      <c r="A48" s="230"/>
      <c r="B48" s="230"/>
      <c r="C48" s="202"/>
      <c r="D48" s="202"/>
      <c r="E48" s="202"/>
      <c r="F48" s="202"/>
      <c r="G48" s="202"/>
      <c r="H48" s="202"/>
      <c r="I48" s="202"/>
      <c r="J48" s="202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167"/>
      <c r="AM48" s="167"/>
      <c r="AN48" s="167"/>
      <c r="AO48" s="167"/>
      <c r="AP48" s="167"/>
      <c r="AQ48" s="167"/>
      <c r="AR48" s="167"/>
      <c r="AS48" s="167"/>
      <c r="AT48" s="167"/>
    </row>
    <row r="49" spans="1:46" x14ac:dyDescent="0.25">
      <c r="A49" s="230"/>
      <c r="B49" s="230"/>
      <c r="C49" s="202"/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167"/>
      <c r="AM49" s="167"/>
      <c r="AN49" s="167"/>
      <c r="AO49" s="167"/>
      <c r="AP49" s="167"/>
      <c r="AQ49" s="167"/>
      <c r="AR49" s="167"/>
      <c r="AS49" s="167"/>
      <c r="AT49" s="167"/>
    </row>
    <row r="50" spans="1:46" x14ac:dyDescent="0.25">
      <c r="A50" s="230"/>
      <c r="B50" s="230"/>
      <c r="C50" s="202"/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167"/>
      <c r="AM50" s="167"/>
      <c r="AN50" s="167"/>
      <c r="AO50" s="167"/>
      <c r="AP50" s="167"/>
      <c r="AQ50" s="167"/>
      <c r="AR50" s="167"/>
      <c r="AS50" s="167"/>
      <c r="AT50" s="167"/>
    </row>
    <row r="51" spans="1:46" x14ac:dyDescent="0.25">
      <c r="A51" s="230"/>
      <c r="B51" s="230"/>
      <c r="C51" s="202"/>
      <c r="D51" s="202"/>
      <c r="E51" s="202"/>
      <c r="F51" s="202"/>
      <c r="G51" s="202"/>
      <c r="H51" s="202"/>
      <c r="I51" s="202"/>
      <c r="J51" s="202"/>
      <c r="K51" s="202"/>
      <c r="L51" s="202"/>
      <c r="M51" s="202"/>
      <c r="N51" s="202"/>
      <c r="O51" s="202"/>
      <c r="P51" s="202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167"/>
      <c r="AM51" s="167"/>
      <c r="AN51" s="167"/>
      <c r="AO51" s="167"/>
      <c r="AP51" s="167"/>
      <c r="AQ51" s="167"/>
      <c r="AR51" s="167"/>
      <c r="AS51" s="167"/>
      <c r="AT51" s="167"/>
    </row>
    <row r="52" spans="1:46" x14ac:dyDescent="0.25">
      <c r="A52" s="230"/>
      <c r="B52" s="230"/>
      <c r="C52" s="202"/>
      <c r="D52" s="202"/>
      <c r="E52" s="202"/>
      <c r="F52" s="202"/>
      <c r="G52" s="202"/>
      <c r="H52" s="202"/>
      <c r="I52" s="202"/>
      <c r="J52" s="202"/>
      <c r="K52" s="202"/>
      <c r="L52" s="202"/>
      <c r="M52" s="202"/>
      <c r="N52" s="202"/>
      <c r="O52" s="202"/>
      <c r="P52" s="202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167"/>
      <c r="AM52" s="167"/>
      <c r="AN52" s="167"/>
      <c r="AO52" s="167"/>
      <c r="AP52" s="167"/>
      <c r="AQ52" s="167"/>
      <c r="AR52" s="167"/>
      <c r="AS52" s="167"/>
      <c r="AT52" s="167"/>
    </row>
    <row r="53" spans="1:46" x14ac:dyDescent="0.25">
      <c r="A53" s="230"/>
      <c r="B53" s="230"/>
      <c r="C53" s="202"/>
      <c r="D53" s="202"/>
      <c r="E53" s="202"/>
      <c r="F53" s="202"/>
      <c r="G53" s="202"/>
      <c r="H53" s="202"/>
      <c r="I53" s="202"/>
      <c r="J53" s="202"/>
      <c r="K53" s="202"/>
      <c r="L53" s="202"/>
      <c r="M53" s="202"/>
      <c r="N53" s="202"/>
      <c r="O53" s="202"/>
      <c r="P53" s="202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167"/>
      <c r="AM53" s="167"/>
      <c r="AN53" s="167"/>
      <c r="AO53" s="167"/>
      <c r="AP53" s="167"/>
      <c r="AQ53" s="167"/>
      <c r="AR53" s="167"/>
      <c r="AS53" s="167"/>
      <c r="AT53" s="167"/>
    </row>
    <row r="54" spans="1:46" x14ac:dyDescent="0.25">
      <c r="A54" s="230"/>
      <c r="B54" s="230"/>
      <c r="C54" s="202"/>
      <c r="D54" s="202"/>
      <c r="E54" s="202"/>
      <c r="F54" s="202"/>
      <c r="G54" s="202"/>
      <c r="H54" s="202"/>
      <c r="I54" s="202"/>
      <c r="J54" s="202"/>
      <c r="K54" s="202"/>
      <c r="L54" s="202"/>
      <c r="M54" s="202"/>
      <c r="N54" s="202"/>
      <c r="O54" s="202"/>
      <c r="P54" s="202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167"/>
      <c r="AM54" s="167"/>
      <c r="AN54" s="167"/>
      <c r="AO54" s="167"/>
      <c r="AP54" s="167"/>
      <c r="AQ54" s="167"/>
      <c r="AR54" s="167"/>
      <c r="AS54" s="167"/>
      <c r="AT54" s="167"/>
    </row>
    <row r="55" spans="1:46" x14ac:dyDescent="0.25">
      <c r="A55" s="230"/>
      <c r="B55" s="230"/>
      <c r="C55" s="202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167"/>
      <c r="AM55" s="167"/>
      <c r="AN55" s="167"/>
      <c r="AO55" s="167"/>
      <c r="AP55" s="167"/>
      <c r="AQ55" s="167"/>
      <c r="AR55" s="167"/>
      <c r="AS55" s="167"/>
      <c r="AT55" s="167"/>
    </row>
    <row r="56" spans="1:46" x14ac:dyDescent="0.25">
      <c r="A56" s="230"/>
      <c r="B56" s="230"/>
      <c r="C56" s="202"/>
      <c r="D56" s="202"/>
      <c r="E56" s="202"/>
      <c r="F56" s="202"/>
      <c r="G56" s="202"/>
      <c r="H56" s="202"/>
      <c r="I56" s="202"/>
      <c r="J56" s="202"/>
      <c r="K56" s="202"/>
      <c r="L56" s="202"/>
      <c r="M56" s="202"/>
      <c r="N56" s="202"/>
      <c r="O56" s="202"/>
      <c r="P56" s="202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167"/>
      <c r="AM56" s="167"/>
      <c r="AN56" s="167"/>
      <c r="AO56" s="167"/>
      <c r="AP56" s="167"/>
      <c r="AQ56" s="167"/>
      <c r="AR56" s="167"/>
      <c r="AS56" s="167"/>
      <c r="AT56" s="167"/>
    </row>
    <row r="57" spans="1:46" x14ac:dyDescent="0.25">
      <c r="A57" s="230"/>
      <c r="B57" s="230"/>
      <c r="C57" s="202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2"/>
      <c r="P57" s="202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167"/>
      <c r="AM57" s="167"/>
      <c r="AN57" s="167"/>
      <c r="AO57" s="167"/>
      <c r="AP57" s="167"/>
      <c r="AQ57" s="167"/>
      <c r="AR57" s="167"/>
      <c r="AS57" s="167"/>
      <c r="AT57" s="167"/>
    </row>
    <row r="58" spans="1:46" x14ac:dyDescent="0.25">
      <c r="A58" s="230"/>
      <c r="B58" s="230"/>
      <c r="C58" s="202"/>
      <c r="D58" s="202"/>
      <c r="E58" s="202"/>
      <c r="F58" s="202"/>
      <c r="G58" s="202"/>
      <c r="H58" s="202"/>
      <c r="I58" s="202"/>
      <c r="J58" s="202"/>
      <c r="K58" s="202"/>
      <c r="L58" s="202"/>
      <c r="M58" s="202"/>
      <c r="N58" s="202"/>
      <c r="O58" s="202"/>
      <c r="P58" s="202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167"/>
      <c r="AM58" s="167"/>
      <c r="AN58" s="167"/>
      <c r="AO58" s="167"/>
      <c r="AP58" s="167"/>
      <c r="AQ58" s="167"/>
      <c r="AR58" s="167"/>
      <c r="AS58" s="167"/>
      <c r="AT58" s="167"/>
    </row>
    <row r="59" spans="1:46" x14ac:dyDescent="0.25">
      <c r="A59" s="206"/>
      <c r="B59" s="207"/>
      <c r="C59" s="202"/>
      <c r="D59" s="202"/>
      <c r="E59" s="202"/>
      <c r="F59" s="202"/>
      <c r="G59" s="202"/>
      <c r="H59" s="202"/>
      <c r="I59" s="202"/>
      <c r="J59" s="202"/>
      <c r="K59" s="202"/>
      <c r="L59" s="202"/>
      <c r="M59" s="202"/>
      <c r="N59" s="202"/>
      <c r="O59" s="202"/>
      <c r="P59" s="202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167"/>
      <c r="AM59" s="167"/>
      <c r="AN59" s="167"/>
      <c r="AO59" s="167"/>
      <c r="AP59" s="167"/>
      <c r="AQ59" s="167"/>
      <c r="AR59" s="167"/>
      <c r="AS59" s="167"/>
      <c r="AT59" s="167"/>
    </row>
    <row r="60" spans="1:46" x14ac:dyDescent="0.25">
      <c r="A60" s="206"/>
      <c r="B60" s="207"/>
      <c r="C60" s="202"/>
      <c r="D60" s="202"/>
      <c r="E60" s="202"/>
      <c r="F60" s="202"/>
      <c r="G60" s="202"/>
      <c r="H60" s="202"/>
      <c r="I60" s="202"/>
      <c r="J60" s="202"/>
      <c r="K60" s="202"/>
      <c r="L60" s="202"/>
      <c r="M60" s="202"/>
      <c r="N60" s="202"/>
      <c r="O60" s="202"/>
      <c r="P60" s="202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167"/>
      <c r="AM60" s="167"/>
      <c r="AN60" s="167"/>
      <c r="AO60" s="167"/>
      <c r="AP60" s="167"/>
      <c r="AQ60" s="167"/>
      <c r="AR60" s="167"/>
      <c r="AS60" s="167"/>
      <c r="AT60" s="167"/>
    </row>
    <row r="61" spans="1:46" ht="15" customHeight="1" x14ac:dyDescent="0.25">
      <c r="A61" s="230" t="s">
        <v>189</v>
      </c>
      <c r="B61" s="230"/>
      <c r="C61" s="202"/>
      <c r="D61" s="202"/>
      <c r="E61" s="202"/>
      <c r="F61" s="202"/>
      <c r="G61" s="202"/>
      <c r="H61" s="202"/>
      <c r="I61" s="202"/>
      <c r="J61" s="202"/>
      <c r="K61" s="202"/>
      <c r="L61" s="202"/>
      <c r="M61" s="202"/>
      <c r="N61" s="202"/>
      <c r="O61" s="202"/>
      <c r="P61" s="202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167"/>
      <c r="AM61" s="167"/>
      <c r="AN61" s="167"/>
      <c r="AO61" s="167"/>
      <c r="AP61" s="167"/>
      <c r="AQ61" s="167"/>
      <c r="AR61" s="167"/>
      <c r="AS61" s="167"/>
      <c r="AT61" s="167"/>
    </row>
    <row r="62" spans="1:46" x14ac:dyDescent="0.25">
      <c r="A62" s="230"/>
      <c r="B62" s="230"/>
      <c r="C62" s="202"/>
      <c r="D62" s="202"/>
      <c r="E62" s="202"/>
      <c r="F62" s="202"/>
      <c r="G62" s="202"/>
      <c r="H62" s="202"/>
      <c r="I62" s="202"/>
      <c r="J62" s="202"/>
      <c r="K62" s="202"/>
      <c r="L62" s="202"/>
      <c r="M62" s="202"/>
      <c r="N62" s="202"/>
      <c r="O62" s="202"/>
      <c r="P62" s="202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167"/>
      <c r="AM62" s="167"/>
      <c r="AN62" s="167"/>
      <c r="AO62" s="167"/>
      <c r="AP62" s="167"/>
      <c r="AQ62" s="167"/>
      <c r="AR62" s="167"/>
      <c r="AS62" s="167"/>
      <c r="AT62" s="167"/>
    </row>
    <row r="63" spans="1:46" x14ac:dyDescent="0.25">
      <c r="A63" s="230"/>
      <c r="B63" s="230"/>
      <c r="C63" s="202"/>
      <c r="D63" s="202"/>
      <c r="E63" s="202"/>
      <c r="F63" s="202"/>
      <c r="G63" s="202"/>
      <c r="H63" s="202"/>
      <c r="I63" s="202"/>
      <c r="J63" s="202"/>
      <c r="K63" s="202"/>
      <c r="L63" s="202"/>
      <c r="M63" s="202"/>
      <c r="N63" s="202"/>
      <c r="O63" s="202"/>
      <c r="P63" s="202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167"/>
      <c r="AM63" s="167"/>
      <c r="AN63" s="167"/>
      <c r="AO63" s="167"/>
      <c r="AP63" s="167"/>
      <c r="AQ63" s="167"/>
      <c r="AR63" s="167"/>
      <c r="AS63" s="167"/>
      <c r="AT63" s="167"/>
    </row>
    <row r="64" spans="1:46" x14ac:dyDescent="0.25">
      <c r="A64" s="230"/>
      <c r="B64" s="230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2"/>
      <c r="P64" s="202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167"/>
      <c r="AM64" s="167"/>
      <c r="AN64" s="167"/>
      <c r="AO64" s="167"/>
      <c r="AP64" s="167"/>
      <c r="AQ64" s="167"/>
      <c r="AR64" s="167"/>
      <c r="AS64" s="167"/>
      <c r="AT64" s="167"/>
    </row>
    <row r="65" spans="1:46" x14ac:dyDescent="0.25">
      <c r="A65" s="230"/>
      <c r="B65" s="230"/>
      <c r="C65" s="202"/>
      <c r="D65" s="202"/>
      <c r="E65" s="202"/>
      <c r="F65" s="202"/>
      <c r="G65" s="202"/>
      <c r="H65" s="202"/>
      <c r="I65" s="202"/>
      <c r="J65" s="202"/>
      <c r="K65" s="202"/>
      <c r="L65" s="202"/>
      <c r="M65" s="202"/>
      <c r="N65" s="202"/>
      <c r="O65" s="202"/>
      <c r="P65" s="202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167"/>
      <c r="AM65" s="167"/>
      <c r="AN65" s="167"/>
      <c r="AO65" s="167"/>
      <c r="AP65" s="167"/>
      <c r="AQ65" s="167"/>
      <c r="AR65" s="167"/>
      <c r="AS65" s="167"/>
      <c r="AT65" s="167"/>
    </row>
    <row r="66" spans="1:46" x14ac:dyDescent="0.25">
      <c r="A66" s="230"/>
      <c r="B66" s="230"/>
      <c r="C66" s="202"/>
      <c r="D66" s="202"/>
      <c r="E66" s="202"/>
      <c r="F66" s="202"/>
      <c r="G66" s="202"/>
      <c r="H66" s="202"/>
      <c r="I66" s="202"/>
      <c r="J66" s="202"/>
      <c r="K66" s="202"/>
      <c r="L66" s="202"/>
      <c r="M66" s="202"/>
      <c r="N66" s="202"/>
      <c r="O66" s="202"/>
      <c r="P66" s="202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167"/>
      <c r="AM66" s="167"/>
      <c r="AN66" s="167"/>
      <c r="AO66" s="167"/>
      <c r="AP66" s="167"/>
      <c r="AQ66" s="167"/>
      <c r="AR66" s="167"/>
      <c r="AS66" s="167"/>
      <c r="AT66" s="167"/>
    </row>
    <row r="67" spans="1:46" x14ac:dyDescent="0.25">
      <c r="A67" s="230"/>
      <c r="B67" s="230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2"/>
      <c r="P67" s="202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167"/>
      <c r="AM67" s="167"/>
      <c r="AN67" s="167"/>
      <c r="AO67" s="167"/>
      <c r="AP67" s="167"/>
      <c r="AQ67" s="167"/>
      <c r="AR67" s="167"/>
      <c r="AS67" s="167"/>
      <c r="AT67" s="167"/>
    </row>
    <row r="68" spans="1:46" ht="15" customHeight="1" x14ac:dyDescent="0.25">
      <c r="A68" s="230"/>
      <c r="B68" s="230"/>
      <c r="C68" s="202"/>
      <c r="D68" s="202"/>
      <c r="E68" s="202"/>
      <c r="F68" s="202"/>
      <c r="G68" s="202"/>
      <c r="H68" s="202"/>
      <c r="I68" s="202"/>
      <c r="J68" s="202"/>
      <c r="K68" s="202"/>
      <c r="L68" s="202"/>
      <c r="M68" s="202"/>
      <c r="N68" s="202"/>
      <c r="O68" s="202"/>
      <c r="P68" s="202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167"/>
      <c r="AM68" s="167"/>
      <c r="AN68" s="167"/>
      <c r="AO68" s="167"/>
      <c r="AP68" s="167"/>
      <c r="AQ68" s="167"/>
      <c r="AR68" s="167"/>
      <c r="AS68" s="167"/>
      <c r="AT68" s="167"/>
    </row>
    <row r="69" spans="1:46" x14ac:dyDescent="0.25">
      <c r="A69" s="230"/>
      <c r="B69" s="230"/>
      <c r="C69" s="202"/>
      <c r="D69" s="202"/>
      <c r="E69" s="202"/>
      <c r="F69" s="202"/>
      <c r="G69" s="202"/>
      <c r="H69" s="202"/>
      <c r="I69" s="202"/>
      <c r="J69" s="202"/>
      <c r="K69" s="202"/>
      <c r="L69" s="202"/>
      <c r="M69" s="202"/>
      <c r="N69" s="202"/>
      <c r="O69" s="202"/>
      <c r="P69" s="202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167"/>
      <c r="AM69" s="167"/>
      <c r="AN69" s="167"/>
      <c r="AO69" s="167"/>
      <c r="AP69" s="167"/>
      <c r="AQ69" s="167"/>
      <c r="AR69" s="167"/>
      <c r="AS69" s="167"/>
      <c r="AT69" s="167"/>
    </row>
    <row r="70" spans="1:46" x14ac:dyDescent="0.25">
      <c r="A70" s="230"/>
      <c r="B70" s="230"/>
      <c r="C70" s="202"/>
      <c r="D70" s="202"/>
      <c r="E70" s="202"/>
      <c r="F70" s="202"/>
      <c r="G70" s="202"/>
      <c r="H70" s="202"/>
      <c r="I70" s="202"/>
      <c r="J70" s="202"/>
      <c r="K70" s="202"/>
      <c r="L70" s="202"/>
      <c r="M70" s="202"/>
      <c r="N70" s="202"/>
      <c r="O70" s="202"/>
      <c r="P70" s="202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167"/>
      <c r="AM70" s="167"/>
      <c r="AN70" s="167"/>
      <c r="AO70" s="167"/>
      <c r="AP70" s="167"/>
      <c r="AQ70" s="167"/>
      <c r="AR70" s="167"/>
      <c r="AS70" s="167"/>
      <c r="AT70" s="167"/>
    </row>
    <row r="71" spans="1:46" x14ac:dyDescent="0.25">
      <c r="A71" s="230"/>
      <c r="B71" s="230"/>
      <c r="C71" s="202"/>
      <c r="D71" s="202"/>
      <c r="E71" s="202"/>
      <c r="F71" s="202"/>
      <c r="G71" s="202"/>
      <c r="H71" s="202"/>
      <c r="I71" s="202"/>
      <c r="J71" s="202"/>
      <c r="K71" s="202"/>
      <c r="L71" s="202"/>
      <c r="M71" s="202"/>
      <c r="N71" s="202"/>
      <c r="O71" s="202"/>
      <c r="P71" s="202"/>
      <c r="Q71" s="202"/>
      <c r="R71" s="202"/>
      <c r="S71" s="202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  <c r="AD71" s="202"/>
      <c r="AE71" s="202"/>
      <c r="AF71" s="202"/>
      <c r="AG71" s="202"/>
      <c r="AH71" s="202"/>
      <c r="AI71" s="202"/>
      <c r="AJ71" s="202"/>
      <c r="AK71" s="202"/>
      <c r="AL71" s="167"/>
      <c r="AM71" s="167"/>
      <c r="AN71" s="167"/>
      <c r="AO71" s="167"/>
      <c r="AP71" s="167"/>
      <c r="AQ71" s="167"/>
      <c r="AR71" s="167"/>
      <c r="AS71" s="167"/>
      <c r="AT71" s="167"/>
    </row>
    <row r="72" spans="1:46" x14ac:dyDescent="0.25">
      <c r="A72" s="230"/>
      <c r="B72" s="230"/>
      <c r="C72" s="202"/>
      <c r="D72" s="202"/>
      <c r="E72" s="202"/>
      <c r="F72" s="202"/>
      <c r="G72" s="202"/>
      <c r="H72" s="202"/>
      <c r="I72" s="202"/>
      <c r="J72" s="202"/>
      <c r="K72" s="202"/>
      <c r="L72" s="202"/>
      <c r="M72" s="202"/>
      <c r="N72" s="202"/>
      <c r="O72" s="202"/>
      <c r="P72" s="202"/>
      <c r="Q72" s="202"/>
      <c r="R72" s="202"/>
      <c r="S72" s="202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  <c r="AD72" s="202"/>
      <c r="AE72" s="202"/>
      <c r="AF72" s="202"/>
      <c r="AG72" s="202"/>
      <c r="AH72" s="202"/>
      <c r="AI72" s="202"/>
      <c r="AJ72" s="202"/>
      <c r="AK72" s="202"/>
      <c r="AL72" s="167"/>
      <c r="AM72" s="167"/>
      <c r="AN72" s="167"/>
      <c r="AO72" s="167"/>
      <c r="AP72" s="167"/>
      <c r="AQ72" s="167"/>
      <c r="AR72" s="167"/>
      <c r="AS72" s="167"/>
      <c r="AT72" s="167"/>
    </row>
    <row r="73" spans="1:46" x14ac:dyDescent="0.25">
      <c r="A73" s="230"/>
      <c r="B73" s="230"/>
      <c r="C73" s="202"/>
      <c r="D73" s="202"/>
      <c r="E73" s="202"/>
      <c r="F73" s="202"/>
      <c r="G73" s="202"/>
      <c r="H73" s="202"/>
      <c r="I73" s="202"/>
      <c r="J73" s="202"/>
      <c r="K73" s="202"/>
      <c r="L73" s="202"/>
      <c r="M73" s="202"/>
      <c r="N73" s="202"/>
      <c r="O73" s="202"/>
      <c r="P73" s="202"/>
      <c r="Q73" s="202"/>
      <c r="R73" s="202"/>
      <c r="S73" s="202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  <c r="AD73" s="202"/>
      <c r="AE73" s="202"/>
      <c r="AF73" s="202"/>
      <c r="AG73" s="202"/>
      <c r="AH73" s="202"/>
      <c r="AI73" s="202"/>
      <c r="AJ73" s="202"/>
      <c r="AK73" s="202"/>
      <c r="AL73" s="167"/>
      <c r="AM73" s="167"/>
      <c r="AN73" s="167"/>
      <c r="AO73" s="167"/>
      <c r="AP73" s="167"/>
      <c r="AQ73" s="167"/>
      <c r="AR73" s="167"/>
      <c r="AS73" s="167"/>
      <c r="AT73" s="167"/>
    </row>
    <row r="74" spans="1:46" x14ac:dyDescent="0.25">
      <c r="A74" s="230"/>
      <c r="B74" s="230"/>
      <c r="C74" s="202"/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2"/>
      <c r="S74" s="202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  <c r="AD74" s="202"/>
      <c r="AE74" s="202"/>
      <c r="AF74" s="202"/>
      <c r="AG74" s="202"/>
      <c r="AH74" s="202"/>
      <c r="AI74" s="202"/>
      <c r="AJ74" s="202"/>
      <c r="AK74" s="202"/>
      <c r="AL74" s="167"/>
      <c r="AM74" s="167"/>
      <c r="AN74" s="167"/>
      <c r="AO74" s="167"/>
      <c r="AP74" s="167"/>
      <c r="AQ74" s="167"/>
      <c r="AR74" s="167"/>
      <c r="AS74" s="167"/>
      <c r="AT74" s="167"/>
    </row>
    <row r="75" spans="1:46" x14ac:dyDescent="0.25">
      <c r="A75" s="230"/>
      <c r="B75" s="230"/>
      <c r="C75" s="202"/>
      <c r="D75" s="202"/>
      <c r="E75" s="202"/>
      <c r="F75" s="202"/>
      <c r="G75" s="202"/>
      <c r="H75" s="202"/>
      <c r="I75" s="202"/>
      <c r="J75" s="202"/>
      <c r="K75" s="202"/>
      <c r="L75" s="202"/>
      <c r="M75" s="202"/>
      <c r="N75" s="202"/>
      <c r="O75" s="202"/>
      <c r="P75" s="202"/>
      <c r="Q75" s="202"/>
      <c r="R75" s="202"/>
      <c r="S75" s="202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  <c r="AD75" s="202"/>
      <c r="AE75" s="202"/>
      <c r="AF75" s="202"/>
      <c r="AG75" s="202"/>
      <c r="AH75" s="202"/>
      <c r="AI75" s="202"/>
      <c r="AJ75" s="202"/>
      <c r="AK75" s="202"/>
      <c r="AL75" s="167"/>
      <c r="AM75" s="167"/>
      <c r="AN75" s="167"/>
      <c r="AO75" s="167"/>
      <c r="AP75" s="167"/>
      <c r="AQ75" s="167"/>
      <c r="AR75" s="167"/>
      <c r="AS75" s="167"/>
      <c r="AT75" s="167"/>
    </row>
    <row r="76" spans="1:46" x14ac:dyDescent="0.25">
      <c r="A76" s="230"/>
      <c r="B76" s="230"/>
      <c r="C76" s="202"/>
      <c r="D76" s="202"/>
      <c r="E76" s="202"/>
      <c r="F76" s="202"/>
      <c r="G76" s="202"/>
      <c r="H76" s="202"/>
      <c r="I76" s="202"/>
      <c r="J76" s="202"/>
      <c r="K76" s="202"/>
      <c r="L76" s="202"/>
      <c r="M76" s="202"/>
      <c r="N76" s="202"/>
      <c r="O76" s="202"/>
      <c r="P76" s="202"/>
      <c r="Q76" s="202"/>
      <c r="R76" s="202"/>
      <c r="S76" s="202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  <c r="AD76" s="202"/>
      <c r="AE76" s="202"/>
      <c r="AF76" s="202"/>
      <c r="AG76" s="202"/>
      <c r="AH76" s="202"/>
      <c r="AI76" s="202"/>
      <c r="AJ76" s="202"/>
      <c r="AK76" s="202"/>
      <c r="AL76" s="167"/>
      <c r="AM76" s="167"/>
      <c r="AN76" s="167"/>
      <c r="AO76" s="167"/>
      <c r="AP76" s="167"/>
      <c r="AQ76" s="167"/>
      <c r="AR76" s="167"/>
      <c r="AS76" s="167"/>
      <c r="AT76" s="167"/>
    </row>
    <row r="77" spans="1:46" x14ac:dyDescent="0.25">
      <c r="A77" s="204"/>
      <c r="B77" s="205"/>
      <c r="C77" s="202"/>
      <c r="D77" s="202"/>
      <c r="E77" s="202"/>
      <c r="F77" s="202"/>
      <c r="G77" s="202"/>
      <c r="H77" s="202"/>
      <c r="I77" s="202"/>
      <c r="J77" s="202"/>
      <c r="K77" s="202"/>
      <c r="L77" s="202"/>
      <c r="M77" s="202"/>
      <c r="N77" s="202"/>
      <c r="O77" s="202"/>
      <c r="P77" s="202"/>
      <c r="Q77" s="202"/>
      <c r="R77" s="202"/>
      <c r="S77" s="202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  <c r="AD77" s="202"/>
      <c r="AE77" s="202"/>
      <c r="AF77" s="202"/>
      <c r="AG77" s="202"/>
      <c r="AH77" s="202"/>
      <c r="AI77" s="202"/>
      <c r="AJ77" s="202"/>
      <c r="AK77" s="202"/>
      <c r="AL77" s="167"/>
      <c r="AM77" s="167"/>
      <c r="AN77" s="167"/>
      <c r="AO77" s="167"/>
      <c r="AP77" s="167"/>
      <c r="AQ77" s="167"/>
      <c r="AR77" s="167"/>
      <c r="AS77" s="167"/>
      <c r="AT77" s="167"/>
    </row>
    <row r="78" spans="1:46" x14ac:dyDescent="0.25">
      <c r="A78" s="204"/>
      <c r="B78" s="205"/>
      <c r="C78" s="202"/>
      <c r="D78" s="202"/>
      <c r="E78" s="202"/>
      <c r="F78" s="202"/>
      <c r="G78" s="202"/>
      <c r="H78" s="202"/>
      <c r="I78" s="202"/>
      <c r="J78" s="202"/>
      <c r="K78" s="202"/>
      <c r="L78" s="202"/>
      <c r="M78" s="202"/>
      <c r="N78" s="202"/>
      <c r="O78" s="202"/>
      <c r="P78" s="202"/>
      <c r="Q78" s="202"/>
      <c r="R78" s="202"/>
      <c r="S78" s="202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  <c r="AD78" s="202"/>
      <c r="AE78" s="202"/>
      <c r="AF78" s="202"/>
      <c r="AG78" s="202"/>
      <c r="AH78" s="202"/>
      <c r="AI78" s="202"/>
      <c r="AJ78" s="202"/>
      <c r="AK78" s="202"/>
      <c r="AL78" s="167"/>
      <c r="AM78" s="167"/>
      <c r="AN78" s="167"/>
      <c r="AO78" s="167"/>
      <c r="AP78" s="167"/>
      <c r="AQ78" s="167"/>
      <c r="AR78" s="167"/>
      <c r="AS78" s="167"/>
      <c r="AT78" s="167"/>
    </row>
    <row r="79" spans="1:46" ht="15" customHeight="1" x14ac:dyDescent="0.25">
      <c r="A79" s="204"/>
      <c r="B79" s="205"/>
      <c r="C79" s="203"/>
      <c r="D79" s="202"/>
      <c r="E79" s="202"/>
      <c r="F79" s="202"/>
      <c r="G79" s="202"/>
      <c r="H79" s="202"/>
      <c r="I79" s="202"/>
      <c r="J79" s="202"/>
      <c r="K79" s="202"/>
      <c r="L79" s="202"/>
      <c r="M79" s="202"/>
      <c r="N79" s="202"/>
      <c r="O79" s="202"/>
      <c r="P79" s="202"/>
      <c r="Q79" s="202"/>
      <c r="R79" s="202"/>
      <c r="S79" s="202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  <c r="AD79" s="202"/>
      <c r="AE79" s="202"/>
      <c r="AF79" s="202"/>
      <c r="AG79" s="202"/>
      <c r="AH79" s="202"/>
      <c r="AI79" s="202"/>
      <c r="AJ79" s="202"/>
      <c r="AK79" s="202"/>
      <c r="AL79" s="167"/>
      <c r="AM79" s="167"/>
      <c r="AN79" s="167"/>
      <c r="AO79" s="167"/>
      <c r="AP79" s="167"/>
      <c r="AQ79" s="167"/>
      <c r="AR79" s="167"/>
      <c r="AS79" s="167"/>
      <c r="AT79" s="167"/>
    </row>
    <row r="80" spans="1:46" ht="15" customHeight="1" x14ac:dyDescent="0.25">
      <c r="A80" s="231"/>
      <c r="B80" s="231"/>
      <c r="C80" s="203"/>
      <c r="D80" s="202"/>
      <c r="E80" s="202"/>
      <c r="F80" s="202"/>
      <c r="G80" s="202"/>
      <c r="H80" s="202"/>
      <c r="I80" s="202"/>
      <c r="J80" s="202"/>
      <c r="K80" s="202"/>
      <c r="L80" s="202"/>
      <c r="M80" s="202"/>
      <c r="N80" s="202"/>
      <c r="O80" s="202"/>
      <c r="P80" s="202"/>
      <c r="Q80" s="202"/>
      <c r="R80" s="202"/>
      <c r="S80" s="202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  <c r="AD80" s="202"/>
      <c r="AE80" s="202"/>
      <c r="AF80" s="202"/>
      <c r="AG80" s="202"/>
      <c r="AH80" s="202"/>
      <c r="AI80" s="202"/>
      <c r="AJ80" s="202"/>
      <c r="AK80" s="202"/>
      <c r="AL80" s="167"/>
    </row>
    <row r="81" spans="1:38" x14ac:dyDescent="0.25">
      <c r="A81" s="193"/>
      <c r="B81" s="193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67"/>
      <c r="AI81" s="167"/>
      <c r="AJ81" s="167"/>
      <c r="AK81" s="167"/>
      <c r="AL81" s="167"/>
    </row>
    <row r="82" spans="1:38" x14ac:dyDescent="0.25">
      <c r="A82" s="167"/>
      <c r="B82" s="167"/>
      <c r="C82" s="167"/>
      <c r="D82" s="167"/>
      <c r="E82" s="167"/>
      <c r="F82" s="167"/>
      <c r="G82" s="167"/>
      <c r="H82" s="167"/>
      <c r="I82" s="167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7"/>
      <c r="AK82" s="167"/>
      <c r="AL82" s="167"/>
    </row>
  </sheetData>
  <mergeCells count="5">
    <mergeCell ref="A5:B21"/>
    <mergeCell ref="A22:B40"/>
    <mergeCell ref="A42:B58"/>
    <mergeCell ref="A61:B76"/>
    <mergeCell ref="A80:B80"/>
  </mergeCells>
  <pageMargins left="0" right="0" top="0" bottom="0" header="0" footer="0"/>
  <pageSetup scale="33" orientation="landscape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EDU projections</vt:lpstr>
      <vt:lpstr>Pop</vt:lpstr>
      <vt:lpstr>UN</vt:lpstr>
      <vt:lpstr>GDPcap</vt:lpstr>
      <vt:lpstr>RCP</vt:lpstr>
      <vt:lpstr>1</vt:lpstr>
      <vt:lpstr>2</vt:lpstr>
      <vt:lpstr>3</vt:lpstr>
      <vt:lpstr>Fig (1)</vt:lpstr>
      <vt:lpstr>Fig (2)</vt:lpstr>
      <vt:lpstr>Fig (3)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Soheil Shayegh</dc:creator>
  <cp:lastModifiedBy>Soheil Shayegh</cp:lastModifiedBy>
  <cp:lastPrinted>2016-08-31T15:30:49Z</cp:lastPrinted>
  <dcterms:created xsi:type="dcterms:W3CDTF">2016-04-13T18:33:45Z</dcterms:created>
  <dcterms:modified xsi:type="dcterms:W3CDTF">2016-10-06T09:18:58Z</dcterms:modified>
</cp:coreProperties>
</file>